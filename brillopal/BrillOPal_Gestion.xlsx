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Escandallo Costes" sheetId="1" state="visible" r:id="rId1"/>
    <sheet xmlns:r="http://schemas.openxmlformats.org/officeDocument/2006/relationships" name="2_Clientes y Contratos" sheetId="2" state="visible" r:id="rId2"/>
    <sheet xmlns:r="http://schemas.openxmlformats.org/officeDocument/2006/relationships" name="3_Planificación Servicios" sheetId="3" state="visible" r:id="rId3"/>
    <sheet xmlns:r="http://schemas.openxmlformats.org/officeDocument/2006/relationships" name="4_Facturación y Cobros" sheetId="4" state="visible" r:id="rId4"/>
    <sheet xmlns:r="http://schemas.openxmlformats.org/officeDocument/2006/relationships" name="5_Cuenta Resultados 18M" sheetId="5" state="visible" r:id="rId5"/>
    <sheet xmlns:r="http://schemas.openxmlformats.org/officeDocument/2006/relationships" name="6_CashFlow Lean (Recomendado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€"/>
    <numFmt numFmtId="165" formatCode="#,##0.0 &quot;h&quot;"/>
  </numFmts>
  <fonts count="10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1"/>
    </font>
    <font>
      <b val="1"/>
      <color rgb="001F3864"/>
      <sz val="10"/>
    </font>
    <font>
      <color rgb="001F3864"/>
      <sz val="10"/>
    </font>
    <font>
      <b val="1"/>
      <color rgb="001F3864"/>
    </font>
    <font>
      <b val="1"/>
      <color rgb="00FFFFFF"/>
    </font>
    <font>
      <b val="1"/>
      <color rgb="001F3864"/>
      <sz val="9"/>
    </font>
    <font>
      <color rgb="001F3864"/>
      <sz val="9"/>
    </font>
    <font>
      <b val="1"/>
      <color rgb="00FFFFFF"/>
      <sz val="9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F4B942"/>
      </patternFill>
    </fill>
    <fill>
      <patternFill patternType="solid">
        <fgColor rgb="0070AD47"/>
      </patternFill>
    </fill>
    <fill>
      <patternFill patternType="solid">
        <fgColor rgb="00FFFFFF"/>
      </patternFill>
    </fill>
    <fill>
      <patternFill patternType="solid">
        <fgColor rgb="00ED7D31"/>
      </patternFill>
    </fill>
    <fill>
      <patternFill patternType="solid">
        <fgColor rgb="00FFCCCC"/>
      </patternFill>
    </fill>
    <fill>
      <patternFill patternType="solid">
        <fgColor rgb="00F4C7C3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0" fillId="0" borderId="1" applyAlignment="1" pivotButton="0" quotePrefix="0" xfId="0">
      <alignment horizontal="right" vertical="center"/>
    </xf>
    <xf numFmtId="164" fontId="0" fillId="5" borderId="1" applyAlignment="1" pivotButton="0" quotePrefix="0" xfId="0">
      <alignment horizontal="right" vertical="center"/>
    </xf>
    <xf numFmtId="164" fontId="0" fillId="4" borderId="1" applyAlignment="1" pivotButton="0" quotePrefix="0" xfId="0">
      <alignment horizontal="right" vertical="center"/>
    </xf>
    <xf numFmtId="10" fontId="0" fillId="0" borderId="1" applyAlignment="1" pivotButton="0" quotePrefix="0" xfId="0">
      <alignment horizontal="right" vertical="center"/>
    </xf>
    <xf numFmtId="0" fontId="3" fillId="0" borderId="1" pivotButton="0" quotePrefix="0" xfId="0"/>
    <xf numFmtId="10" fontId="0" fillId="4" borderId="1" applyAlignment="1" pivotButton="0" quotePrefix="0" xfId="0">
      <alignment horizontal="right" vertical="center"/>
    </xf>
    <xf numFmtId="164" fontId="0" fillId="6" borderId="1" applyAlignment="1" pivotButton="0" quotePrefix="0" xfId="0">
      <alignment horizontal="right" vertical="center"/>
    </xf>
    <xf numFmtId="164" fontId="0" fillId="7" borderId="1" applyAlignment="1" pivotButton="0" quotePrefix="0" xfId="0">
      <alignment horizontal="right" vertical="center"/>
    </xf>
    <xf numFmtId="0" fontId="4" fillId="8" borderId="1" pivotButton="0" quotePrefix="0" xfId="0"/>
    <xf numFmtId="164" fontId="0" fillId="8" borderId="1" applyAlignment="1" pivotButton="0" quotePrefix="0" xfId="0">
      <alignment horizontal="right" vertical="center"/>
    </xf>
    <xf numFmtId="164" fontId="4" fillId="7" borderId="1" pivotButton="0" quotePrefix="0" xfId="0"/>
    <xf numFmtId="0" fontId="4" fillId="5" borderId="1" pivotButton="0" quotePrefix="0" xfId="0"/>
    <xf numFmtId="164" fontId="4" fillId="6" borderId="1" pivotButton="0" quotePrefix="0" xfId="0"/>
    <xf numFmtId="0" fontId="0" fillId="5" borderId="1" pivotButton="0" quotePrefix="0" xfId="0"/>
    <xf numFmtId="0" fontId="0" fillId="8" borderId="1" pivotButton="0" quotePrefix="0" xfId="0"/>
    <xf numFmtId="0" fontId="3" fillId="5" borderId="1" pivotButton="0" quotePrefix="0" xfId="0"/>
    <xf numFmtId="0" fontId="0" fillId="5" borderId="1" applyAlignment="1" pivotButton="0" quotePrefix="0" xfId="0">
      <alignment vertical="center" wrapText="1"/>
    </xf>
    <xf numFmtId="0" fontId="3" fillId="8" borderId="1" pivotButton="0" quotePrefix="0" xfId="0"/>
    <xf numFmtId="0" fontId="0" fillId="8" borderId="1" applyAlignment="1" pivotButton="0" quotePrefix="0" xfId="0">
      <alignment vertical="center" wrapText="1"/>
    </xf>
    <xf numFmtId="0" fontId="5" fillId="0" borderId="0" pivotButton="0" quotePrefix="0" xfId="0"/>
    <xf numFmtId="0" fontId="0" fillId="7" borderId="1" pivotButton="0" quotePrefix="0" xfId="0"/>
    <xf numFmtId="0" fontId="0" fillId="3" borderId="1" pivotButton="0" quotePrefix="0" xfId="0"/>
    <xf numFmtId="0" fontId="0" fillId="6" borderId="1" pivotButton="0" quotePrefix="0" xfId="0"/>
    <xf numFmtId="0" fontId="6" fillId="7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8" fillId="8" borderId="1" pivotButton="0" quotePrefix="0" xfId="0"/>
    <xf numFmtId="165" fontId="0" fillId="0" borderId="1" applyAlignment="1" pivotButton="0" quotePrefix="0" xfId="0">
      <alignment horizontal="right" vertical="center"/>
    </xf>
    <xf numFmtId="165" fontId="7" fillId="6" borderId="1" applyAlignment="1" pivotButton="0" quotePrefix="0" xfId="0">
      <alignment horizontal="right" vertical="center"/>
    </xf>
    <xf numFmtId="164" fontId="7" fillId="6" borderId="1" applyAlignment="1" pivotButton="0" quotePrefix="0" xfId="0">
      <alignment horizontal="right" vertical="center"/>
    </xf>
    <xf numFmtId="0" fontId="7" fillId="4" borderId="1" pivotButton="0" quotePrefix="0" xfId="0"/>
    <xf numFmtId="164" fontId="7" fillId="10" borderId="1" applyAlignment="1" pivotButton="0" quotePrefix="0" xfId="0">
      <alignment horizontal="right" vertical="center"/>
    </xf>
    <xf numFmtId="164" fontId="7" fillId="7" borderId="1" applyAlignment="1" pivotButton="0" quotePrefix="0" xfId="0">
      <alignment horizontal="right" vertical="center"/>
    </xf>
    <xf numFmtId="10" fontId="7" fillId="6" borderId="1" applyAlignment="1" pivotButton="0" quotePrefix="0" xfId="0">
      <alignment horizontal="right" vertical="center"/>
    </xf>
    <xf numFmtId="164" fontId="0" fillId="10" borderId="1" applyAlignment="1" pivotButton="0" quotePrefix="0" xfId="0">
      <alignment horizontal="right" vertical="center"/>
    </xf>
    <xf numFmtId="0" fontId="0" fillId="0" borderId="1" pivotButton="0" quotePrefix="0" xfId="0"/>
    <xf numFmtId="0" fontId="9" fillId="2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1" fontId="0" fillId="0" borderId="1" applyAlignment="1" pivotButton="0" quotePrefix="0" xfId="0">
      <alignment horizontal="center" vertical="center" wrapText="1"/>
    </xf>
    <xf numFmtId="1" fontId="7" fillId="6" borderId="1" applyAlignment="1" pivotButton="0" quotePrefix="0" xfId="0">
      <alignment horizontal="right" vertical="center"/>
    </xf>
    <xf numFmtId="164" fontId="9" fillId="11" borderId="1" applyAlignment="1" pivotButton="0" quotePrefix="0" xfId="0">
      <alignment horizontal="right" vertical="center"/>
    </xf>
    <xf numFmtId="0" fontId="9" fillId="7" borderId="1" applyAlignment="1" pivotButton="0" quotePrefix="0" xfId="0">
      <alignment horizontal="center" vertical="center" wrapText="1"/>
    </xf>
    <xf numFmtId="164" fontId="9" fillId="7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0" customHeight="1">
      <c r="A1" s="1" t="inlineStr">
        <is>
          <t>BRILLOPAL – Escandallo de Costes y Precio de Venta por Hora (2025/2026)</t>
        </is>
      </c>
    </row>
    <row r="2">
      <c r="A2" s="2" t="inlineStr">
        <is>
          <t>A. TABLA SALARIAL – Convenio Limpieza Edificios y Locales Palencia 2022-2025</t>
        </is>
      </c>
    </row>
    <row r="3" ht="22" customHeight="1">
      <c r="A3" s="3" t="inlineStr">
        <is>
          <t>Categoría</t>
        </is>
      </c>
      <c r="B3" s="3" t="inlineStr">
        <is>
          <t>Sal. Base/mes Conv.
(€)</t>
        </is>
      </c>
      <c r="C3" s="3" t="inlineStr">
        <is>
          <t>Sal. Base/mes
+3% BrillOPal</t>
        </is>
      </c>
      <c r="D3" s="3" t="inlineStr">
        <is>
          <t>14 pagas/año Conv.</t>
        </is>
      </c>
      <c r="E3" s="3" t="inlineStr">
        <is>
          <t>14 pagas/año
+3%</t>
        </is>
      </c>
      <c r="F3" s="3" t="inlineStr">
        <is>
          <t>Base SS mensual
(anual/12)</t>
        </is>
      </c>
      <c r="G3" s="3" t="inlineStr">
        <is>
          <t>SS empresa/año
(31.78%)</t>
        </is>
      </c>
      <c r="H3" s="3" t="inlineStr">
        <is>
          <t>Coste total
empresa/año</t>
        </is>
      </c>
    </row>
    <row r="4">
      <c r="A4" s="4" t="inlineStr">
        <is>
          <t>I – Encargado General</t>
        </is>
      </c>
      <c r="B4" s="5" t="n">
        <v>1375</v>
      </c>
      <c r="C4" s="6" t="n">
        <v>1416.25</v>
      </c>
      <c r="D4" s="5" t="n">
        <v>19250</v>
      </c>
      <c r="E4" s="6" t="n">
        <v>19827.5</v>
      </c>
      <c r="F4" s="5" t="n">
        <v>1652.291666666667</v>
      </c>
      <c r="G4" s="5" t="n">
        <v>6301.179499999999</v>
      </c>
      <c r="H4" s="7" t="n">
        <v>26128.6795</v>
      </c>
    </row>
    <row r="5">
      <c r="A5" s="4" t="inlineStr">
        <is>
          <t>II – Encargado de Zona</t>
        </is>
      </c>
      <c r="B5" s="5" t="n">
        <v>1240</v>
      </c>
      <c r="C5" s="6" t="n">
        <v>1277.2</v>
      </c>
      <c r="D5" s="5" t="n">
        <v>17360</v>
      </c>
      <c r="E5" s="6" t="n">
        <v>17880.8</v>
      </c>
      <c r="F5" s="5" t="n">
        <v>1490.066666666667</v>
      </c>
      <c r="G5" s="5" t="n">
        <v>5682.518239999999</v>
      </c>
      <c r="H5" s="7" t="n">
        <v>23563.31824</v>
      </c>
    </row>
    <row r="6">
      <c r="A6" s="4" t="inlineStr">
        <is>
          <t>III – Especialista</t>
        </is>
      </c>
      <c r="B6" s="5" t="n">
        <v>1165</v>
      </c>
      <c r="C6" s="6" t="n">
        <v>1199.95</v>
      </c>
      <c r="D6" s="5" t="n">
        <v>16310</v>
      </c>
      <c r="E6" s="6" t="n">
        <v>16799.3</v>
      </c>
      <c r="F6" s="5" t="n">
        <v>1399.941666666667</v>
      </c>
      <c r="G6" s="5" t="n">
        <v>5338.817539999999</v>
      </c>
      <c r="H6" s="7" t="n">
        <v>22138.11754</v>
      </c>
    </row>
    <row r="7">
      <c r="A7" s="4" t="inlineStr">
        <is>
          <t>IV – Limpiador/a</t>
        </is>
      </c>
      <c r="B7" s="5" t="n">
        <v>1107.22</v>
      </c>
      <c r="C7" s="6" t="n">
        <v>1140.4366</v>
      </c>
      <c r="D7" s="5" t="n">
        <v>15501.08</v>
      </c>
      <c r="E7" s="6" t="n">
        <v>15966.1124</v>
      </c>
      <c r="F7" s="5" t="n">
        <v>1330.509366666667</v>
      </c>
      <c r="G7" s="5" t="n">
        <v>5074.03052072</v>
      </c>
      <c r="H7" s="7" t="n">
        <v>21040.14292072</v>
      </c>
    </row>
    <row r="8">
      <c r="A8" s="4" t="inlineStr">
        <is>
          <t>V – Peón Auxiliar</t>
        </is>
      </c>
      <c r="B8" s="5" t="n">
        <v>1107.22</v>
      </c>
      <c r="C8" s="6" t="n">
        <v>1140.4366</v>
      </c>
      <c r="D8" s="5" t="n">
        <v>15501.08</v>
      </c>
      <c r="E8" s="6" t="n">
        <v>15966.1124</v>
      </c>
      <c r="F8" s="5" t="n">
        <v>1330.509366666667</v>
      </c>
      <c r="G8" s="5" t="n">
        <v>5074.03052072</v>
      </c>
      <c r="H8" s="7" t="n">
        <v>21040.14292072</v>
      </c>
    </row>
    <row r="10">
      <c r="A10" s="2" t="inlineStr">
        <is>
          <t>Desglose cotizaciones empresa (% s/base SS)</t>
        </is>
      </c>
    </row>
    <row r="11">
      <c r="A11" s="4" t="inlineStr">
        <is>
          <t>Contingencias Comunes</t>
        </is>
      </c>
      <c r="B11" s="8" t="n">
        <v>0.236</v>
      </c>
    </row>
    <row r="12">
      <c r="A12" s="4" t="inlineStr">
        <is>
          <t>Desempleo (indef.)</t>
        </is>
      </c>
      <c r="B12" s="8" t="n">
        <v>0.055</v>
      </c>
    </row>
    <row r="13">
      <c r="A13" s="4" t="inlineStr">
        <is>
          <t>Formación Profesional</t>
        </is>
      </c>
      <c r="B13" s="8" t="n">
        <v>0.006</v>
      </c>
    </row>
    <row r="14">
      <c r="A14" s="4" t="inlineStr">
        <is>
          <t>FOGASA</t>
        </is>
      </c>
      <c r="B14" s="8" t="n">
        <v>0.002</v>
      </c>
    </row>
    <row r="15">
      <c r="A15" s="4" t="inlineStr">
        <is>
          <t>MEI</t>
        </is>
      </c>
      <c r="B15" s="8" t="n">
        <v>0.0058</v>
      </c>
    </row>
    <row r="16">
      <c r="A16" s="4" t="inlineStr">
        <is>
          <t>AT/EP (Limpieza)</t>
        </is>
      </c>
      <c r="B16" s="8" t="n">
        <v>0.013</v>
      </c>
    </row>
    <row r="17">
      <c r="A17" s="9" t="inlineStr">
        <is>
          <t>TOTAL COTIZACIÓN EMPRESA</t>
        </is>
      </c>
      <c r="B17" s="10" t="n">
        <v>0.3178</v>
      </c>
    </row>
    <row r="19">
      <c r="A19" s="2" t="inlineStr">
        <is>
          <t>B. ESCANDALLO POR HORA – Categoría IV (Limpiador/a) · Referencia principal</t>
        </is>
      </c>
    </row>
    <row r="20">
      <c r="A20" s="3" t="inlineStr">
        <is>
          <t>Concepto</t>
        </is>
      </c>
      <c r="B20" s="3" t="inlineStr">
        <is>
          <t>€/hora B2B</t>
        </is>
      </c>
      <c r="C20" s="3" t="inlineStr">
        <is>
          <t>€/hora B2C</t>
        </is>
      </c>
      <c r="D20" s="3" t="inlineStr">
        <is>
          <t>Notas</t>
        </is>
      </c>
    </row>
    <row r="21">
      <c r="A21" s="4" t="inlineStr">
        <is>
          <t>Coste laboral (salario+SS / h productiva)</t>
        </is>
      </c>
      <c r="B21" s="5" t="n">
        <v>12.46823284190815</v>
      </c>
      <c r="C21" s="5" t="n">
        <v>12.46823284190815</v>
      </c>
      <c r="D21" s="4">
        <f>15966.11+5074.03) / 1687.5h</f>
        <v/>
      </c>
    </row>
    <row r="22">
      <c r="A22" s="4" t="inlineStr">
        <is>
          <t>Provisión absentismo (3,5% s/labor)</t>
        </is>
      </c>
      <c r="B22" s="5" t="n">
        <v>0.4363881494667852</v>
      </c>
      <c r="C22" s="5" t="n">
        <v>0.4363881494667852</v>
      </c>
      <c r="D22" s="4" t="inlineStr">
        <is>
          <t>Días 1-3 baja a cargo empresa</t>
        </is>
      </c>
    </row>
    <row r="23">
      <c r="A23" s="4" t="inlineStr">
        <is>
          <t>Materiales y productos de limpieza</t>
        </is>
      </c>
      <c r="B23" s="5" t="n">
        <v>0.4</v>
      </c>
      <c r="C23" s="5" t="n">
        <v>0.55</v>
      </c>
      <c r="D23" s="4" t="inlineStr">
        <is>
          <t>B2B: a granel; B2C: envases menores</t>
        </is>
      </c>
    </row>
    <row r="24">
      <c r="A24" s="4" t="inlineStr">
        <is>
          <t>Desplazamiento / combustible</t>
        </is>
      </c>
      <c r="B24" s="5" t="n">
        <v>0.25</v>
      </c>
      <c r="C24" s="5" t="n">
        <v>0.45</v>
      </c>
      <c r="D24" s="4" t="inlineStr">
        <is>
          <t>B2B: rutas fijas; B2C: dispersión mayor</t>
        </is>
      </c>
    </row>
    <row r="25">
      <c r="A25" s="9" t="inlineStr">
        <is>
          <t>COSTE DIRECTO / HORA (sin estructura)</t>
        </is>
      </c>
      <c r="B25" s="11" t="n">
        <v>13.55462099137493</v>
      </c>
      <c r="C25" s="11" t="n">
        <v>13.90462099137493</v>
      </c>
    </row>
    <row r="27">
      <c r="A27" s="2" t="inlineStr">
        <is>
          <t xml:space="preserve">  Escenario 1 empleado  –  Estructura: 1430€/mes ÷ 1 operarios</t>
        </is>
      </c>
    </row>
    <row r="28">
      <c r="A28" s="4" t="inlineStr">
        <is>
          <t>Coste directo / hora</t>
        </is>
      </c>
      <c r="B28" s="5" t="n">
        <v>13.55462099137493</v>
      </c>
      <c r="C28" s="5" t="n">
        <v>13.90462099137493</v>
      </c>
    </row>
    <row r="29">
      <c r="A29" s="4" t="inlineStr">
        <is>
          <t>Estructura asignada / hora</t>
        </is>
      </c>
      <c r="B29" s="5" t="n">
        <v>10.16888888888889</v>
      </c>
      <c r="C29" s="5" t="n">
        <v>10.16888888888889</v>
      </c>
    </row>
    <row r="30">
      <c r="A30" s="9" t="inlineStr">
        <is>
          <t>COSTE TOTAL / HORA</t>
        </is>
      </c>
      <c r="B30" s="5" t="n">
        <v>23.72350988026382</v>
      </c>
      <c r="C30" s="5" t="n">
        <v>24.07350988026382</v>
      </c>
    </row>
    <row r="31">
      <c r="A31" s="9" t="inlineStr">
        <is>
          <t>PRECIO VENTA / HORA (+30%)</t>
        </is>
      </c>
      <c r="B31" s="7" t="n">
        <v>30.84056284434297</v>
      </c>
      <c r="C31" s="7" t="n">
        <v>31.29556284434297</v>
      </c>
    </row>
    <row r="32">
      <c r="A32" s="9" t="inlineStr">
        <is>
          <t>BENEFICIO / HORA</t>
        </is>
      </c>
      <c r="B32" s="12" t="n">
        <v>7.117052964079146</v>
      </c>
      <c r="C32" s="12" t="n">
        <v>7.222052964079147</v>
      </c>
    </row>
    <row r="34">
      <c r="A34" s="2" t="inlineStr">
        <is>
          <t xml:space="preserve">  Escenario 3 empleados  –  Estructura: 1430€/mes ÷ 3 operarios</t>
        </is>
      </c>
    </row>
    <row r="35">
      <c r="A35" s="4" t="inlineStr">
        <is>
          <t>Coste directo / hora</t>
        </is>
      </c>
      <c r="B35" s="5" t="n">
        <v>13.55462099137493</v>
      </c>
      <c r="C35" s="5" t="n">
        <v>13.90462099137493</v>
      </c>
    </row>
    <row r="36">
      <c r="A36" s="4" t="inlineStr">
        <is>
          <t>Estructura asignada / hora</t>
        </is>
      </c>
      <c r="B36" s="5" t="n">
        <v>3.38962962962963</v>
      </c>
      <c r="C36" s="5" t="n">
        <v>3.38962962962963</v>
      </c>
    </row>
    <row r="37">
      <c r="A37" s="9" t="inlineStr">
        <is>
          <t>COSTE TOTAL / HORA</t>
        </is>
      </c>
      <c r="B37" s="5" t="n">
        <v>16.94425062100456</v>
      </c>
      <c r="C37" s="5" t="n">
        <v>17.29425062100456</v>
      </c>
    </row>
    <row r="38">
      <c r="A38" s="9" t="inlineStr">
        <is>
          <t>PRECIO VENTA / HORA (+30%)</t>
        </is>
      </c>
      <c r="B38" s="7" t="n">
        <v>22.02752580730593</v>
      </c>
      <c r="C38" s="7" t="n">
        <v>22.48252580730593</v>
      </c>
    </row>
    <row r="39">
      <c r="A39" s="9" t="inlineStr">
        <is>
          <t>BENEFICIO / HORA</t>
        </is>
      </c>
      <c r="B39" s="12" t="n">
        <v>5.083275186301371</v>
      </c>
      <c r="C39" s="12" t="n">
        <v>5.188275186301368</v>
      </c>
    </row>
    <row r="41">
      <c r="A41" s="2" t="inlineStr">
        <is>
          <t xml:space="preserve">  Escenario 5 empleados  –  Estructura: 1430€/mes ÷ 5 operarios</t>
        </is>
      </c>
    </row>
    <row r="42">
      <c r="A42" s="4" t="inlineStr">
        <is>
          <t>Coste directo / hora</t>
        </is>
      </c>
      <c r="B42" s="5" t="n">
        <v>13.55462099137493</v>
      </c>
      <c r="C42" s="5" t="n">
        <v>13.90462099137493</v>
      </c>
    </row>
    <row r="43">
      <c r="A43" s="4" t="inlineStr">
        <is>
          <t>Estructura asignada / hora</t>
        </is>
      </c>
      <c r="B43" s="5" t="n">
        <v>2.033777777777778</v>
      </c>
      <c r="C43" s="5" t="n">
        <v>2.033777777777778</v>
      </c>
    </row>
    <row r="44">
      <c r="A44" s="9" t="inlineStr">
        <is>
          <t>COSTE TOTAL / HORA</t>
        </is>
      </c>
      <c r="B44" s="5" t="n">
        <v>15.58839876915271</v>
      </c>
      <c r="C44" s="5" t="n">
        <v>15.93839876915271</v>
      </c>
    </row>
    <row r="45">
      <c r="A45" s="9" t="inlineStr">
        <is>
          <t>PRECIO VENTA / HORA (+30%)</t>
        </is>
      </c>
      <c r="B45" s="7" t="n">
        <v>20.26491839989853</v>
      </c>
      <c r="C45" s="7" t="n">
        <v>20.71991839989852</v>
      </c>
    </row>
    <row r="46">
      <c r="A46" s="9" t="inlineStr">
        <is>
          <t>BENEFICIO / HORA</t>
        </is>
      </c>
      <c r="B46" s="12" t="n">
        <v>4.676519630745815</v>
      </c>
      <c r="C46" s="12" t="n">
        <v>4.781519630745812</v>
      </c>
    </row>
    <row r="48">
      <c r="A48" s="2" t="inlineStr">
        <is>
          <t>C. COSTES DE ESTRUCTURA FIJOS MENSUALES</t>
        </is>
      </c>
    </row>
    <row r="49">
      <c r="A49" s="3" t="inlineStr">
        <is>
          <t>Concepto</t>
        </is>
      </c>
      <c r="B49" s="3" t="inlineStr">
        <is>
          <t>€/mes</t>
        </is>
      </c>
    </row>
    <row r="50">
      <c r="A50" s="4" t="inlineStr">
        <is>
          <t>Oficina/Almacén</t>
        </is>
      </c>
      <c r="B50" s="5" t="n">
        <v>300</v>
      </c>
    </row>
    <row r="51">
      <c r="A51" s="4" t="inlineStr">
        <is>
          <t>Suministros</t>
        </is>
      </c>
      <c r="B51" s="5" t="n">
        <v>100</v>
      </c>
    </row>
    <row r="52">
      <c r="A52" s="4" t="inlineStr">
        <is>
          <t>Seguro RC Profesional</t>
        </is>
      </c>
      <c r="B52" s="5" t="n">
        <v>150</v>
      </c>
    </row>
    <row r="53">
      <c r="A53" s="4" t="inlineStr">
        <is>
          <t>Seguro AT Empleados</t>
        </is>
      </c>
      <c r="B53" s="5" t="n">
        <v>50</v>
      </c>
    </row>
    <row r="54">
      <c r="A54" s="4" t="inlineStr">
        <is>
          <t>Gestoría/Asesoría</t>
        </is>
      </c>
      <c r="B54" s="5" t="n">
        <v>150</v>
      </c>
    </row>
    <row r="55">
      <c r="A55" s="4" t="inlineStr">
        <is>
          <t>Teléfono + Internet</t>
        </is>
      </c>
      <c r="B55" s="5" t="n">
        <v>80</v>
      </c>
    </row>
    <row r="56">
      <c r="A56" s="4" t="inlineStr">
        <is>
          <t>Vehículo (cuota+seguro)</t>
        </is>
      </c>
      <c r="B56" s="5" t="n">
        <v>350</v>
      </c>
    </row>
    <row r="57">
      <c r="A57" s="4" t="inlineStr">
        <is>
          <t>Material oficina/admin</t>
        </is>
      </c>
      <c r="B57" s="5" t="n">
        <v>50</v>
      </c>
    </row>
    <row r="58">
      <c r="A58" s="4" t="inlineStr">
        <is>
          <t>Marketing / Web</t>
        </is>
      </c>
      <c r="B58" s="5" t="n">
        <v>100</v>
      </c>
    </row>
    <row r="59">
      <c r="A59" s="4" t="inlineStr">
        <is>
          <t>Varios / imprevistos</t>
        </is>
      </c>
      <c r="B59" s="5" t="n">
        <v>100</v>
      </c>
    </row>
    <row r="60">
      <c r="A60" s="9" t="inlineStr">
        <is>
          <t>TOTAL ESTRUCTURA MENSUAL</t>
        </is>
      </c>
      <c r="B60" s="7" t="n">
        <v>1430</v>
      </c>
    </row>
  </sheetData>
  <mergeCells count="8">
    <mergeCell ref="A41:I41"/>
    <mergeCell ref="A19:I19"/>
    <mergeCell ref="A2:I2"/>
    <mergeCell ref="A1:I1"/>
    <mergeCell ref="A27:I27"/>
    <mergeCell ref="A34:I34"/>
    <mergeCell ref="A10:D10"/>
    <mergeCell ref="A48:I4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8" customWidth="1" min="3" max="3"/>
    <col width="14" customWidth="1" min="4" max="4"/>
    <col width="30" customWidth="1" min="5" max="5"/>
    <col width="7" customWidth="1" min="6" max="6"/>
    <col width="14" customWidth="1" min="7" max="7"/>
    <col width="24" customWidth="1" min="8" max="8"/>
    <col width="18" customWidth="1" min="9" max="9"/>
    <col width="20" customWidth="1" min="10" max="10"/>
    <col width="14" customWidth="1" min="11" max="11"/>
    <col width="8" customWidth="1" min="12" max="12"/>
    <col width="10" customWidth="1" min="13" max="13"/>
    <col width="12" customWidth="1" min="14" max="14"/>
    <col width="12" customWidth="1" min="15" max="15"/>
    <col width="10" customWidth="1" min="16" max="16"/>
  </cols>
  <sheetData>
    <row r="1" ht="25" customHeight="1">
      <c r="A1" s="1" t="inlineStr">
        <is>
          <t>BRILLOPAL – Registro de Clientes y Contratos</t>
        </is>
      </c>
    </row>
    <row r="2">
      <c r="A2" s="3" t="inlineStr">
        <is>
          <t>ID</t>
        </is>
      </c>
      <c r="B2" s="3" t="inlineStr">
        <is>
          <t>Razón Social / Nombre</t>
        </is>
      </c>
      <c r="C2" s="3" t="inlineStr">
        <is>
          <t>Tipo
(B2B/B2C)</t>
        </is>
      </c>
      <c r="D2" s="3" t="inlineStr">
        <is>
          <t>NIF/DNI</t>
        </is>
      </c>
      <c r="E2" s="3" t="inlineStr">
        <is>
          <t>Dirección</t>
        </is>
      </c>
      <c r="F2" s="3" t="inlineStr">
        <is>
          <t>C.P.</t>
        </is>
      </c>
      <c r="G2" s="3" t="inlineStr">
        <is>
          <t>Teléfono</t>
        </is>
      </c>
      <c r="H2" s="3" t="inlineStr">
        <is>
          <t>Email</t>
        </is>
      </c>
      <c r="I2" s="3" t="inlineStr">
        <is>
          <t>Contacto</t>
        </is>
      </c>
      <c r="J2" s="3" t="inlineStr">
        <is>
          <t>Tipo Servicio</t>
        </is>
      </c>
      <c r="K2" s="3" t="inlineStr">
        <is>
          <t>Frecuencia</t>
        </is>
      </c>
      <c r="L2" s="3" t="inlineStr">
        <is>
          <t>Horas/
Mes</t>
        </is>
      </c>
      <c r="M2" s="3" t="inlineStr">
        <is>
          <t>€/Hora
(s/IVA)</t>
        </is>
      </c>
      <c r="N2" s="3" t="inlineStr">
        <is>
          <t>€/Mes
(s/IVA)</t>
        </is>
      </c>
      <c r="O2" s="3" t="inlineStr">
        <is>
          <t>Fecha
Inicio</t>
        </is>
      </c>
      <c r="P2" s="3" t="inlineStr">
        <is>
          <t>Estado</t>
        </is>
      </c>
    </row>
    <row r="3">
      <c r="A3" s="13" t="inlineStr">
        <is>
          <t>B2B-001</t>
        </is>
      </c>
      <c r="B3" s="13" t="inlineStr">
        <is>
          <t>Industrias Cerealistas Norte SL</t>
        </is>
      </c>
      <c r="C3" s="13" t="inlineStr">
        <is>
          <t>B2B</t>
        </is>
      </c>
      <c r="D3" s="13" t="inlineStr">
        <is>
          <t>B-34001234</t>
        </is>
      </c>
      <c r="E3" s="13" t="inlineStr">
        <is>
          <t>Polígono La Mora, C/Cedros 12, Palencia</t>
        </is>
      </c>
      <c r="F3" s="13" t="inlineStr">
        <is>
          <t>34004</t>
        </is>
      </c>
      <c r="G3" s="13" t="inlineStr">
        <is>
          <t>979 123 456</t>
        </is>
      </c>
      <c r="H3" s="13" t="inlineStr">
        <is>
          <t>gerencia@cerealistas.com</t>
        </is>
      </c>
      <c r="I3" s="13" t="inlineStr">
        <is>
          <t>José M. García</t>
        </is>
      </c>
      <c r="J3" s="13" t="inlineStr">
        <is>
          <t>Limpieza nave industrial</t>
        </is>
      </c>
      <c r="K3" s="13" t="inlineStr">
        <is>
          <t>Diaria (L-V)</t>
        </is>
      </c>
      <c r="L3" s="13" t="n">
        <v>80</v>
      </c>
      <c r="M3" s="14" t="n">
        <v>20.41</v>
      </c>
      <c r="N3" s="15" t="n">
        <v>1632.8</v>
      </c>
      <c r="O3" s="13" t="inlineStr">
        <is>
          <t>01/07/2026</t>
        </is>
      </c>
      <c r="P3" s="13" t="inlineStr">
        <is>
          <t>Activo</t>
        </is>
      </c>
    </row>
    <row r="4">
      <c r="A4" s="16" t="inlineStr">
        <is>
          <t>B2B-002</t>
        </is>
      </c>
      <c r="B4" s="16" t="inlineStr">
        <is>
          <t>Comunidad Propietarios C/Mayor 45</t>
        </is>
      </c>
      <c r="C4" s="16" t="inlineStr">
        <is>
          <t>B2B</t>
        </is>
      </c>
      <c r="D4" s="16" t="inlineStr">
        <is>
          <t>—</t>
        </is>
      </c>
      <c r="E4" s="16" t="inlineStr">
        <is>
          <t>C/Mayor 45, Palencia</t>
        </is>
      </c>
      <c r="F4" s="16" t="inlineStr">
        <is>
          <t>34001</t>
        </is>
      </c>
      <c r="G4" s="16" t="inlineStr">
        <is>
          <t>979 234 567</t>
        </is>
      </c>
      <c r="H4" s="16" t="inlineStr">
        <is>
          <t>presidente@cmajor45.es</t>
        </is>
      </c>
      <c r="I4" s="16" t="inlineStr">
        <is>
          <t>Marta López</t>
        </is>
      </c>
      <c r="J4" s="16" t="inlineStr">
        <is>
          <t>Limpieza zonas comunes</t>
        </is>
      </c>
      <c r="K4" s="16" t="inlineStr">
        <is>
          <t>3 días/sem</t>
        </is>
      </c>
      <c r="L4" s="16" t="n">
        <v>50</v>
      </c>
      <c r="M4" s="6" t="n">
        <v>20.41</v>
      </c>
      <c r="N4" s="15" t="n">
        <v>1020.5</v>
      </c>
      <c r="O4" s="16" t="inlineStr">
        <is>
          <t>01/08/2026</t>
        </is>
      </c>
      <c r="P4" s="16" t="inlineStr">
        <is>
          <t>Pendiente</t>
        </is>
      </c>
    </row>
    <row r="5">
      <c r="A5" s="13" t="inlineStr">
        <is>
          <t>B2B-003</t>
        </is>
      </c>
      <c r="B5" s="13" t="inlineStr">
        <is>
          <t>Oficinas Plenilunio SL</t>
        </is>
      </c>
      <c r="C5" s="13" t="inlineStr">
        <is>
          <t>B2B</t>
        </is>
      </c>
      <c r="D5" s="13" t="inlineStr">
        <is>
          <t>B-34005678</t>
        </is>
      </c>
      <c r="E5" s="13" t="inlineStr">
        <is>
          <t>Avda. Santander 8, Palencia</t>
        </is>
      </c>
      <c r="F5" s="13" t="inlineStr">
        <is>
          <t>34003</t>
        </is>
      </c>
      <c r="G5" s="13" t="inlineStr">
        <is>
          <t>979 345 678</t>
        </is>
      </c>
      <c r="H5" s="13" t="inlineStr">
        <is>
          <t>admin@plenilunio.es</t>
        </is>
      </c>
      <c r="I5" s="13" t="inlineStr">
        <is>
          <t>Carmen Ruiz</t>
        </is>
      </c>
      <c r="J5" s="13" t="inlineStr">
        <is>
          <t>Limpieza oficinas</t>
        </is>
      </c>
      <c r="K5" s="13" t="inlineStr">
        <is>
          <t>Diaria (L-V)</t>
        </is>
      </c>
      <c r="L5" s="13" t="n">
        <v>60</v>
      </c>
      <c r="M5" s="14" t="n">
        <v>20.41</v>
      </c>
      <c r="N5" s="15" t="n">
        <v>1224.6</v>
      </c>
      <c r="O5" s="13" t="inlineStr">
        <is>
          <t>15/07/2026</t>
        </is>
      </c>
      <c r="P5" s="13" t="inlineStr">
        <is>
          <t>Propuesta</t>
        </is>
      </c>
    </row>
    <row r="6">
      <c r="A6" s="16" t="inlineStr">
        <is>
          <t>B2C-001</t>
        </is>
      </c>
      <c r="B6" s="16" t="inlineStr">
        <is>
          <t>García Fernández, Antonio</t>
        </is>
      </c>
      <c r="C6" s="16" t="inlineStr">
        <is>
          <t>B2C</t>
        </is>
      </c>
      <c r="D6" s="16" t="inlineStr">
        <is>
          <t>12345678A</t>
        </is>
      </c>
      <c r="E6" s="16" t="inlineStr">
        <is>
          <t>C/Palomares 3, 2ºA, Palencia</t>
        </is>
      </c>
      <c r="F6" s="16" t="inlineStr">
        <is>
          <t>34002</t>
        </is>
      </c>
      <c r="G6" s="16" t="inlineStr">
        <is>
          <t>666 111 222</t>
        </is>
      </c>
      <c r="H6" s="16" t="inlineStr">
        <is>
          <t>antonio.garcia@email.com</t>
        </is>
      </c>
      <c r="I6" s="16" t="inlineStr">
        <is>
          <t>—</t>
        </is>
      </c>
      <c r="J6" s="16" t="inlineStr">
        <is>
          <t>Limpieza hogar</t>
        </is>
      </c>
      <c r="K6" s="16" t="inlineStr">
        <is>
          <t>Quincenal</t>
        </is>
      </c>
      <c r="L6" s="16" t="n">
        <v>8</v>
      </c>
      <c r="M6" s="6" t="n">
        <v>22.5</v>
      </c>
      <c r="N6" s="17" t="n">
        <v>180</v>
      </c>
      <c r="O6" s="16" t="inlineStr">
        <is>
          <t>05/07/2026</t>
        </is>
      </c>
      <c r="P6" s="16" t="inlineStr">
        <is>
          <t>Activo</t>
        </is>
      </c>
    </row>
    <row r="7">
      <c r="A7" s="13" t="inlineStr">
        <is>
          <t>B2C-002</t>
        </is>
      </c>
      <c r="B7" s="13" t="inlineStr">
        <is>
          <t>Consultoría ACME (pequeña of.)</t>
        </is>
      </c>
      <c r="C7" s="13" t="inlineStr">
        <is>
          <t>B2C</t>
        </is>
      </c>
      <c r="D7" s="13" t="inlineStr">
        <is>
          <t>B-34009999</t>
        </is>
      </c>
      <c r="E7" s="13" t="inlineStr">
        <is>
          <t>C/Gil de Fuentes 5, Palencia</t>
        </is>
      </c>
      <c r="F7" s="13" t="inlineStr">
        <is>
          <t>34001</t>
        </is>
      </c>
      <c r="G7" s="13" t="inlineStr">
        <is>
          <t>666 333 444</t>
        </is>
      </c>
      <c r="H7" s="13" t="inlineStr">
        <is>
          <t>info@acmeconsult.es</t>
        </is>
      </c>
      <c r="I7" s="13" t="inlineStr">
        <is>
          <t>—</t>
        </is>
      </c>
      <c r="J7" s="13" t="inlineStr">
        <is>
          <t>Limpieza oficina pequeña</t>
        </is>
      </c>
      <c r="K7" s="13" t="inlineStr">
        <is>
          <t>Semanal</t>
        </is>
      </c>
      <c r="L7" s="13" t="n">
        <v>12</v>
      </c>
      <c r="M7" s="14" t="n">
        <v>22.5</v>
      </c>
      <c r="N7" s="17" t="n">
        <v>270</v>
      </c>
      <c r="O7" s="13" t="inlineStr">
        <is>
          <t>01/08/2026</t>
        </is>
      </c>
      <c r="P7" s="13" t="inlineStr">
        <is>
          <t>Propuesta</t>
        </is>
      </c>
    </row>
    <row r="8">
      <c r="A8" s="18" t="inlineStr"/>
      <c r="B8" s="18" t="inlineStr"/>
      <c r="C8" s="18" t="inlineStr"/>
      <c r="D8" s="18" t="inlineStr"/>
      <c r="E8" s="18" t="inlineStr"/>
      <c r="F8" s="18" t="inlineStr"/>
      <c r="G8" s="18" t="inlineStr"/>
      <c r="H8" s="18" t="inlineStr"/>
      <c r="I8" s="18" t="inlineStr"/>
      <c r="J8" s="18" t="inlineStr"/>
      <c r="K8" s="18" t="inlineStr"/>
      <c r="L8" s="18" t="inlineStr"/>
      <c r="M8" s="18" t="inlineStr"/>
      <c r="N8" s="18" t="inlineStr"/>
      <c r="O8" s="18" t="inlineStr"/>
      <c r="P8" s="18" t="inlineStr"/>
    </row>
    <row r="9">
      <c r="A9" s="19" t="inlineStr"/>
      <c r="B9" s="19" t="inlineStr"/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</row>
    <row r="10">
      <c r="A10" s="18" t="inlineStr"/>
      <c r="B10" s="18" t="inlineStr"/>
      <c r="C10" s="18" t="inlineStr"/>
      <c r="D10" s="18" t="inlineStr"/>
      <c r="E10" s="18" t="inlineStr"/>
      <c r="F10" s="18" t="inlineStr"/>
      <c r="G10" s="18" t="inlineStr"/>
      <c r="H10" s="18" t="inlineStr"/>
      <c r="I10" s="18" t="inlineStr"/>
      <c r="J10" s="18" t="inlineStr"/>
      <c r="K10" s="18" t="inlineStr"/>
      <c r="L10" s="18" t="inlineStr"/>
      <c r="M10" s="18" t="inlineStr"/>
      <c r="N10" s="18" t="inlineStr"/>
      <c r="O10" s="18" t="inlineStr"/>
      <c r="P10" s="18" t="inlineStr"/>
    </row>
    <row r="11">
      <c r="A11" s="19" t="inlineStr"/>
      <c r="B11" s="19" t="inlineStr"/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</row>
    <row r="12">
      <c r="A12" s="18" t="inlineStr"/>
      <c r="B12" s="18" t="inlineStr"/>
      <c r="C12" s="18" t="inlineStr"/>
      <c r="D12" s="18" t="inlineStr"/>
      <c r="E12" s="18" t="inlineStr"/>
      <c r="F12" s="18" t="inlineStr"/>
      <c r="G12" s="18" t="inlineStr"/>
      <c r="H12" s="18" t="inlineStr"/>
      <c r="I12" s="18" t="inlineStr"/>
      <c r="J12" s="18" t="inlineStr"/>
      <c r="K12" s="18" t="inlineStr"/>
      <c r="L12" s="18" t="inlineStr"/>
      <c r="M12" s="18" t="inlineStr"/>
      <c r="N12" s="18" t="inlineStr"/>
      <c r="O12" s="18" t="inlineStr"/>
      <c r="P12" s="18" t="inlineStr"/>
    </row>
    <row r="13">
      <c r="A13" s="19" t="inlineStr"/>
      <c r="B13" s="19" t="inlineStr"/>
      <c r="C13" s="19" t="inlineStr"/>
      <c r="D13" s="19" t="inlineStr"/>
      <c r="E13" s="19" t="inlineStr"/>
      <c r="F13" s="19" t="inlineStr"/>
      <c r="G13" s="19" t="inlineStr"/>
      <c r="H13" s="19" t="inlineStr"/>
      <c r="I13" s="19" t="inlineStr"/>
      <c r="J13" s="19" t="inlineStr"/>
      <c r="K13" s="19" t="inlineStr"/>
      <c r="L13" s="19" t="inlineStr"/>
      <c r="M13" s="19" t="inlineStr"/>
      <c r="N13" s="19" t="inlineStr"/>
      <c r="O13" s="19" t="inlineStr"/>
      <c r="P13" s="19" t="inlineStr"/>
    </row>
    <row r="14">
      <c r="A14" s="18" t="inlineStr"/>
      <c r="B14" s="18" t="inlineStr"/>
      <c r="C14" s="18" t="inlineStr"/>
      <c r="D14" s="18" t="inlineStr"/>
      <c r="E14" s="18" t="inlineStr"/>
      <c r="F14" s="18" t="inlineStr"/>
      <c r="G14" s="18" t="inlineStr"/>
      <c r="H14" s="18" t="inlineStr"/>
      <c r="I14" s="18" t="inlineStr"/>
      <c r="J14" s="18" t="inlineStr"/>
      <c r="K14" s="18" t="inlineStr"/>
      <c r="L14" s="18" t="inlineStr"/>
      <c r="M14" s="18" t="inlineStr"/>
      <c r="N14" s="18" t="inlineStr"/>
      <c r="O14" s="18" t="inlineStr"/>
      <c r="P14" s="18" t="inlineStr"/>
    </row>
    <row r="15">
      <c r="A15" s="19" t="inlineStr"/>
      <c r="B15" s="19" t="inlineStr"/>
      <c r="C15" s="19" t="inlineStr"/>
      <c r="D15" s="19" t="inlineStr"/>
      <c r="E15" s="19" t="inlineStr"/>
      <c r="F15" s="19" t="inlineStr"/>
      <c r="G15" s="19" t="inlineStr"/>
      <c r="H15" s="19" t="inlineStr"/>
      <c r="I15" s="19" t="inlineStr"/>
      <c r="J15" s="19" t="inlineStr"/>
      <c r="K15" s="19" t="inlineStr"/>
      <c r="L15" s="19" t="inlineStr"/>
      <c r="M15" s="19" t="inlineStr"/>
      <c r="N15" s="19" t="inlineStr"/>
      <c r="O15" s="19" t="inlineStr"/>
      <c r="P15" s="19" t="inlineStr"/>
    </row>
    <row r="16">
      <c r="A16" s="18" t="inlineStr"/>
      <c r="B16" s="18" t="inlineStr"/>
      <c r="C16" s="18" t="inlineStr"/>
      <c r="D16" s="18" t="inlineStr"/>
      <c r="E16" s="18" t="inlineStr"/>
      <c r="F16" s="18" t="inlineStr"/>
      <c r="G16" s="18" t="inlineStr"/>
      <c r="H16" s="18" t="inlineStr"/>
      <c r="I16" s="18" t="inlineStr"/>
      <c r="J16" s="18" t="inlineStr"/>
      <c r="K16" s="18" t="inlineStr"/>
      <c r="L16" s="18" t="inlineStr"/>
      <c r="M16" s="18" t="inlineStr"/>
      <c r="N16" s="18" t="inlineStr"/>
      <c r="O16" s="18" t="inlineStr"/>
      <c r="P16" s="18" t="inlineStr"/>
    </row>
    <row r="17">
      <c r="A17" s="19" t="inlineStr"/>
      <c r="B17" s="19" t="inlineStr"/>
      <c r="C17" s="19" t="inlineStr"/>
      <c r="D17" s="19" t="inlineStr"/>
      <c r="E17" s="19" t="inlineStr"/>
      <c r="F17" s="19" t="inlineStr"/>
      <c r="G17" s="19" t="inlineStr"/>
      <c r="H17" s="19" t="inlineStr"/>
      <c r="I17" s="19" t="inlineStr"/>
      <c r="J17" s="19" t="inlineStr"/>
      <c r="K17" s="19" t="inlineStr"/>
      <c r="L17" s="19" t="inlineStr"/>
      <c r="M17" s="19" t="inlineStr"/>
      <c r="N17" s="19" t="inlineStr"/>
      <c r="O17" s="19" t="inlineStr"/>
      <c r="P17" s="19" t="inlineStr"/>
    </row>
    <row r="18">
      <c r="A18" s="18" t="inlineStr"/>
      <c r="B18" s="18" t="inlineStr"/>
      <c r="C18" s="18" t="inlineStr"/>
      <c r="D18" s="18" t="inlineStr"/>
      <c r="E18" s="18" t="inlineStr"/>
      <c r="F18" s="18" t="inlineStr"/>
      <c r="G18" s="18" t="inlineStr"/>
      <c r="H18" s="18" t="inlineStr"/>
      <c r="I18" s="18" t="inlineStr"/>
      <c r="J18" s="18" t="inlineStr"/>
      <c r="K18" s="18" t="inlineStr"/>
      <c r="L18" s="18" t="inlineStr"/>
      <c r="M18" s="18" t="inlineStr"/>
      <c r="N18" s="18" t="inlineStr"/>
      <c r="O18" s="18" t="inlineStr"/>
      <c r="P18" s="18" t="inlineStr"/>
    </row>
    <row r="19">
      <c r="A19" s="19" t="inlineStr"/>
      <c r="B19" s="19" t="inlineStr"/>
      <c r="C19" s="19" t="inlineStr"/>
      <c r="D19" s="19" t="inlineStr"/>
      <c r="E19" s="19" t="inlineStr"/>
      <c r="F19" s="19" t="inlineStr"/>
      <c r="G19" s="19" t="inlineStr"/>
      <c r="H19" s="19" t="inlineStr"/>
      <c r="I19" s="19" t="inlineStr"/>
      <c r="J19" s="19" t="inlineStr"/>
      <c r="K19" s="19" t="inlineStr"/>
      <c r="L19" s="19" t="inlineStr"/>
      <c r="M19" s="19" t="inlineStr"/>
      <c r="N19" s="19" t="inlineStr"/>
      <c r="O19" s="19" t="inlineStr"/>
      <c r="P19" s="19" t="inlineStr"/>
    </row>
    <row r="20">
      <c r="A20" s="18" t="inlineStr"/>
      <c r="B20" s="18" t="inlineStr"/>
      <c r="C20" s="18" t="inlineStr"/>
      <c r="D20" s="18" t="inlineStr"/>
      <c r="E20" s="18" t="inlineStr"/>
      <c r="F20" s="18" t="inlineStr"/>
      <c r="G20" s="18" t="inlineStr"/>
      <c r="H20" s="18" t="inlineStr"/>
      <c r="I20" s="18" t="inlineStr"/>
      <c r="J20" s="18" t="inlineStr"/>
      <c r="K20" s="18" t="inlineStr"/>
      <c r="L20" s="18" t="inlineStr"/>
      <c r="M20" s="18" t="inlineStr"/>
      <c r="N20" s="18" t="inlineStr"/>
      <c r="O20" s="18" t="inlineStr"/>
      <c r="P20" s="18" t="inlineStr"/>
    </row>
    <row r="21">
      <c r="A21" s="19" t="inlineStr"/>
      <c r="B21" s="19" t="inlineStr"/>
      <c r="C21" s="19" t="inlineStr"/>
      <c r="D21" s="19" t="inlineStr"/>
      <c r="E21" s="19" t="inlineStr"/>
      <c r="F21" s="19" t="inlineStr"/>
      <c r="G21" s="19" t="inlineStr"/>
      <c r="H21" s="19" t="inlineStr"/>
      <c r="I21" s="19" t="inlineStr"/>
      <c r="J21" s="19" t="inlineStr"/>
      <c r="K21" s="19" t="inlineStr"/>
      <c r="L21" s="19" t="inlineStr"/>
      <c r="M21" s="19" t="inlineStr"/>
      <c r="N21" s="19" t="inlineStr"/>
      <c r="O21" s="19" t="inlineStr"/>
      <c r="P21" s="19" t="inlineStr"/>
    </row>
    <row r="22">
      <c r="A22" s="18" t="inlineStr"/>
      <c r="B22" s="18" t="inlineStr"/>
      <c r="C22" s="18" t="inlineStr"/>
      <c r="D22" s="18" t="inlineStr"/>
      <c r="E22" s="18" t="inlineStr"/>
      <c r="F22" s="18" t="inlineStr"/>
      <c r="G22" s="18" t="inlineStr"/>
      <c r="H22" s="18" t="inlineStr"/>
      <c r="I22" s="18" t="inlineStr"/>
      <c r="J22" s="18" t="inlineStr"/>
      <c r="K22" s="18" t="inlineStr"/>
      <c r="L22" s="18" t="inlineStr"/>
      <c r="M22" s="18" t="inlineStr"/>
      <c r="N22" s="18" t="inlineStr"/>
      <c r="O22" s="18" t="inlineStr"/>
      <c r="P22" s="18" t="inlineStr"/>
    </row>
    <row r="23">
      <c r="A23" s="19" t="inlineStr"/>
      <c r="B23" s="19" t="inlineStr"/>
      <c r="C23" s="19" t="inlineStr"/>
      <c r="D23" s="19" t="inlineStr"/>
      <c r="E23" s="19" t="inlineStr"/>
      <c r="F23" s="19" t="inlineStr"/>
      <c r="G23" s="19" t="inlineStr"/>
      <c r="H23" s="19" t="inlineStr"/>
      <c r="I23" s="19" t="inlineStr"/>
      <c r="J23" s="19" t="inlineStr"/>
      <c r="K23" s="19" t="inlineStr"/>
      <c r="L23" s="19" t="inlineStr"/>
      <c r="M23" s="19" t="inlineStr"/>
      <c r="N23" s="19" t="inlineStr"/>
      <c r="O23" s="19" t="inlineStr"/>
      <c r="P23" s="19" t="inlineStr"/>
    </row>
    <row r="24">
      <c r="A24" s="18" t="inlineStr"/>
      <c r="B24" s="18" t="inlineStr"/>
      <c r="C24" s="18" t="inlineStr"/>
      <c r="D24" s="18" t="inlineStr"/>
      <c r="E24" s="18" t="inlineStr"/>
      <c r="F24" s="18" t="inlineStr"/>
      <c r="G24" s="18" t="inlineStr"/>
      <c r="H24" s="18" t="inlineStr"/>
      <c r="I24" s="18" t="inlineStr"/>
      <c r="J24" s="18" t="inlineStr"/>
      <c r="K24" s="18" t="inlineStr"/>
      <c r="L24" s="18" t="inlineStr"/>
      <c r="M24" s="18" t="inlineStr"/>
      <c r="N24" s="18" t="inlineStr"/>
      <c r="O24" s="18" t="inlineStr"/>
      <c r="P24" s="18" t="inlineStr"/>
    </row>
    <row r="25">
      <c r="A25" s="19" t="inlineStr"/>
      <c r="B25" s="19" t="inlineStr"/>
      <c r="C25" s="19" t="inlineStr"/>
      <c r="D25" s="19" t="inlineStr"/>
      <c r="E25" s="19" t="inlineStr"/>
      <c r="F25" s="19" t="inlineStr"/>
      <c r="G25" s="19" t="inlineStr"/>
      <c r="H25" s="19" t="inlineStr"/>
      <c r="I25" s="19" t="inlineStr"/>
      <c r="J25" s="19" t="inlineStr"/>
      <c r="K25" s="19" t="inlineStr"/>
      <c r="L25" s="19" t="inlineStr"/>
      <c r="M25" s="19" t="inlineStr"/>
      <c r="N25" s="19" t="inlineStr"/>
      <c r="O25" s="19" t="inlineStr"/>
      <c r="P25" s="19" t="inlineStr"/>
    </row>
    <row r="26">
      <c r="A26" s="18" t="inlineStr"/>
      <c r="B26" s="18" t="inlineStr"/>
      <c r="C26" s="18" t="inlineStr"/>
      <c r="D26" s="18" t="inlineStr"/>
      <c r="E26" s="18" t="inlineStr"/>
      <c r="F26" s="18" t="inlineStr"/>
      <c r="G26" s="18" t="inlineStr"/>
      <c r="H26" s="18" t="inlineStr"/>
      <c r="I26" s="18" t="inlineStr"/>
      <c r="J26" s="18" t="inlineStr"/>
      <c r="K26" s="18" t="inlineStr"/>
      <c r="L26" s="18" t="inlineStr"/>
      <c r="M26" s="18" t="inlineStr"/>
      <c r="N26" s="18" t="inlineStr"/>
      <c r="O26" s="18" t="inlineStr"/>
      <c r="P26" s="18" t="inlineStr"/>
    </row>
    <row r="27">
      <c r="A27" s="19" t="inlineStr"/>
      <c r="B27" s="19" t="inlineStr"/>
      <c r="C27" s="19" t="inlineStr"/>
      <c r="D27" s="19" t="inlineStr"/>
      <c r="E27" s="19" t="inlineStr"/>
      <c r="F27" s="19" t="inlineStr"/>
      <c r="G27" s="19" t="inlineStr"/>
      <c r="H27" s="19" t="inlineStr"/>
      <c r="I27" s="19" t="inlineStr"/>
      <c r="J27" s="19" t="inlineStr"/>
      <c r="K27" s="19" t="inlineStr"/>
      <c r="L27" s="19" t="inlineStr"/>
      <c r="M27" s="19" t="inlineStr"/>
      <c r="N27" s="19" t="inlineStr"/>
      <c r="O27" s="19" t="inlineStr"/>
      <c r="P27" s="19" t="inlineStr"/>
    </row>
  </sheetData>
  <mergeCells count="1">
    <mergeCell ref="A1:P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10" customWidth="1" min="8" max="8"/>
    <col width="22" customWidth="1" min="9" max="9"/>
  </cols>
  <sheetData>
    <row r="1" ht="25" customHeight="1">
      <c r="A1" s="1" t="inlineStr">
        <is>
          <t>BRILLOPAL – Planificación Semanal de Servicios y Asignación de Empleados</t>
        </is>
      </c>
    </row>
    <row r="2">
      <c r="A2" s="3" t="inlineStr">
        <is>
          <t>Empleado</t>
        </is>
      </c>
      <c r="B2" s="3" t="inlineStr">
        <is>
          <t>LUNES</t>
        </is>
      </c>
      <c r="C2" s="3" t="inlineStr">
        <is>
          <t>MARTES</t>
        </is>
      </c>
      <c r="D2" s="3" t="inlineStr">
        <is>
          <t>MIÉRCOLES</t>
        </is>
      </c>
      <c r="E2" s="3" t="inlineStr">
        <is>
          <t>JUEVES</t>
        </is>
      </c>
      <c r="F2" s="3" t="inlineStr">
        <is>
          <t>VIERNES</t>
        </is>
      </c>
      <c r="G2" s="3" t="inlineStr">
        <is>
          <t>SÁBADO</t>
        </is>
      </c>
      <c r="H2" s="3" t="inlineStr">
        <is>
          <t>H. Total
semana</t>
        </is>
      </c>
      <c r="I2" s="3" t="inlineStr">
        <is>
          <t>Cliente
Principal</t>
        </is>
      </c>
    </row>
    <row r="3">
      <c r="A3" s="20" t="inlineStr">
        <is>
          <t>Empleado 1 (Limpiador/a)</t>
        </is>
      </c>
      <c r="B3" s="21" t="inlineStr">
        <is>
          <t>Ind. Cerealistas 6h</t>
        </is>
      </c>
      <c r="C3" s="21" t="inlineStr">
        <is>
          <t>Ind. Cerealistas 6h</t>
        </is>
      </c>
      <c r="D3" s="21" t="inlineStr">
        <is>
          <t>Ind. Cerealistas 6h</t>
        </is>
      </c>
      <c r="E3" s="21" t="inlineStr">
        <is>
          <t>Ind. Cerealistas 6h</t>
        </is>
      </c>
      <c r="F3" s="21" t="inlineStr">
        <is>
          <t>Ind. Cerealistas 6h</t>
        </is>
      </c>
      <c r="G3" s="21" t="inlineStr">
        <is>
          <t>—</t>
        </is>
      </c>
      <c r="H3" s="21" t="n">
        <v>30</v>
      </c>
      <c r="I3" s="21" t="inlineStr">
        <is>
          <t>Industrias Cerealistas</t>
        </is>
      </c>
    </row>
    <row r="4">
      <c r="A4" s="22" t="inlineStr">
        <is>
          <t>Empleado 2 (Limpiador/a)</t>
        </is>
      </c>
      <c r="B4" s="23" t="inlineStr">
        <is>
          <t>Of. Plenilunio 4h
Com. Mayor 3h</t>
        </is>
      </c>
      <c r="C4" s="23" t="inlineStr">
        <is>
          <t>Of. Plenilunio 4h
Com. Mayor 3h</t>
        </is>
      </c>
      <c r="D4" s="23" t="inlineStr">
        <is>
          <t>Of. Plenilunio 4h
Com. Mayor 3h</t>
        </is>
      </c>
      <c r="E4" s="23" t="inlineStr">
        <is>
          <t>Of. Plenilunio 4h</t>
        </is>
      </c>
      <c r="F4" s="23" t="inlineStr">
        <is>
          <t>Of. Plenilunio 4h
Com. Mayor 3h</t>
        </is>
      </c>
      <c r="G4" s="23" t="inlineStr">
        <is>
          <t>Com. Mayor 3h</t>
        </is>
      </c>
      <c r="H4" s="23" t="n">
        <v>37</v>
      </c>
      <c r="I4" s="23" t="inlineStr">
        <is>
          <t>Plenilunio / C/Mayor</t>
        </is>
      </c>
    </row>
    <row r="5">
      <c r="A5" s="20" t="inlineStr">
        <is>
          <t>Empleado 3 (Especialista)</t>
        </is>
      </c>
      <c r="B5" s="21" t="inlineStr">
        <is>
          <t>Hogar B2C 3h
Of. ACME 3h</t>
        </is>
      </c>
      <c r="C5" s="21" t="inlineStr">
        <is>
          <t>—</t>
        </is>
      </c>
      <c r="D5" s="21" t="inlineStr">
        <is>
          <t>Hogar B2C 3h</t>
        </is>
      </c>
      <c r="E5" s="21" t="inlineStr">
        <is>
          <t>—</t>
        </is>
      </c>
      <c r="F5" s="21" t="inlineStr">
        <is>
          <t>Hogar B2C 3h
Of. ACME 3h</t>
        </is>
      </c>
      <c r="G5" s="21" t="inlineStr">
        <is>
          <t>—</t>
        </is>
      </c>
      <c r="H5" s="21" t="n">
        <v>12</v>
      </c>
      <c r="I5" s="21" t="inlineStr">
        <is>
          <t>Clientes B2C</t>
        </is>
      </c>
    </row>
    <row r="7">
      <c r="A7" s="24" t="inlineStr">
        <is>
          <t>Leyenda de colores:</t>
        </is>
      </c>
      <c r="B7" s="25" t="inlineStr">
        <is>
          <t>B2B – Industria</t>
        </is>
      </c>
      <c r="C7" s="26" t="inlineStr">
        <is>
          <t>B2B – Oficinas/Comunidades</t>
        </is>
      </c>
      <c r="D7" s="27" t="inlineStr">
        <is>
          <t>B2C – Hogares</t>
        </is>
      </c>
      <c r="E7" s="19" t="inlineStr">
        <is>
          <t>Libre/Vacío</t>
        </is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8" customWidth="1" min="3" max="3"/>
    <col width="30" customWidth="1" min="4" max="4"/>
    <col width="13" customWidth="1" min="5" max="5"/>
    <col width="10" customWidth="1" min="6" max="6"/>
    <col width="13" customWidth="1" min="7" max="7"/>
    <col width="14" customWidth="1" min="8" max="8"/>
    <col width="14" customWidth="1" min="9" max="9"/>
    <col width="12" customWidth="1" min="10" max="10"/>
    <col width="10" customWidth="1" min="11" max="11"/>
    <col width="24" customWidth="1" min="12" max="12"/>
  </cols>
  <sheetData>
    <row r="1" ht="25" customHeight="1">
      <c r="A1" s="1" t="inlineStr">
        <is>
          <t>BRILLOPAL – Registro de Facturación, Cobros y Antigüedad de Deuda</t>
        </is>
      </c>
    </row>
    <row r="2">
      <c r="A2" s="3" t="inlineStr">
        <is>
          <t>Nº Factura</t>
        </is>
      </c>
      <c r="B2" s="3" t="inlineStr">
        <is>
          <t>Fecha Emisión</t>
        </is>
      </c>
      <c r="C2" s="3" t="inlineStr">
        <is>
          <t>Cliente</t>
        </is>
      </c>
      <c r="D2" s="3" t="inlineStr">
        <is>
          <t>Concepto</t>
        </is>
      </c>
      <c r="E2" s="3" t="inlineStr">
        <is>
          <t>Base
Imponible</t>
        </is>
      </c>
      <c r="F2" s="3" t="inlineStr">
        <is>
          <t>IVA 21%</t>
        </is>
      </c>
      <c r="G2" s="3" t="inlineStr">
        <is>
          <t>TOTAL
FACTURA</t>
        </is>
      </c>
      <c r="H2" s="3" t="inlineStr">
        <is>
          <t>Fecha
Vencimiento</t>
        </is>
      </c>
      <c r="I2" s="3" t="inlineStr">
        <is>
          <t>Fecha
Cobro</t>
        </is>
      </c>
      <c r="J2" s="3" t="inlineStr">
        <is>
          <t>Estado</t>
        </is>
      </c>
      <c r="K2" s="3" t="inlineStr">
        <is>
          <t>Días
Pendiente</t>
        </is>
      </c>
      <c r="L2" s="3" t="inlineStr">
        <is>
          <t>Observaciones</t>
        </is>
      </c>
    </row>
    <row r="3">
      <c r="A3" s="19" t="inlineStr">
        <is>
          <t>FAC-001</t>
        </is>
      </c>
      <c r="B3" s="19" t="inlineStr">
        <is>
          <t>01/07/2026</t>
        </is>
      </c>
      <c r="C3" s="19" t="inlineStr">
        <is>
          <t>Industrias Cerealistas Norte SL</t>
        </is>
      </c>
      <c r="D3" s="19" t="inlineStr">
        <is>
          <t>Servicios limpieza nave – julio 2026</t>
        </is>
      </c>
      <c r="E3" s="14" t="n">
        <v>1632.8</v>
      </c>
      <c r="F3" s="14" t="n">
        <v>342.89</v>
      </c>
      <c r="G3" s="14" t="n">
        <v>1975.69</v>
      </c>
      <c r="H3" s="19" t="inlineStr">
        <is>
          <t>31/07/2026</t>
        </is>
      </c>
      <c r="I3" s="19" t="inlineStr">
        <is>
          <t>31/07/2026</t>
        </is>
      </c>
      <c r="J3" s="28" t="inlineStr">
        <is>
          <t>Cobrada</t>
        </is>
      </c>
      <c r="K3" s="19" t="n">
        <v>0</v>
      </c>
      <c r="L3" s="19" t="inlineStr"/>
    </row>
    <row r="4">
      <c r="A4" s="18" t="inlineStr">
        <is>
          <t>FAC-002</t>
        </is>
      </c>
      <c r="B4" s="18" t="inlineStr">
        <is>
          <t>01/07/2026</t>
        </is>
      </c>
      <c r="C4" s="18" t="inlineStr">
        <is>
          <t>Of. Plenilunio SL</t>
        </is>
      </c>
      <c r="D4" s="18" t="inlineStr">
        <is>
          <t>Servicios limpieza oficinas – julio 2026</t>
        </is>
      </c>
      <c r="E4" s="6" t="n">
        <v>1224.6</v>
      </c>
      <c r="F4" s="6" t="n">
        <v>257.17</v>
      </c>
      <c r="G4" s="6" t="n">
        <v>1481.77</v>
      </c>
      <c r="H4" s="18" t="inlineStr">
        <is>
          <t>31/07/2026</t>
        </is>
      </c>
      <c r="I4" s="18" t="n"/>
      <c r="J4" s="29" t="inlineStr">
        <is>
          <t>Pendiente</t>
        </is>
      </c>
      <c r="K4" s="18" t="n"/>
      <c r="L4" s="18" t="inlineStr"/>
    </row>
    <row r="5">
      <c r="A5" s="19" t="inlineStr">
        <is>
          <t>FAC-003</t>
        </is>
      </c>
      <c r="B5" s="19" t="inlineStr">
        <is>
          <t>01/07/2026</t>
        </is>
      </c>
      <c r="C5" s="19" t="inlineStr">
        <is>
          <t>García Fernández, Antonio</t>
        </is>
      </c>
      <c r="D5" s="19" t="inlineStr">
        <is>
          <t>Limpieza hogar julio 2026 (2 servicios)</t>
        </is>
      </c>
      <c r="E5" s="14" t="n">
        <v>180</v>
      </c>
      <c r="F5" s="14" t="n">
        <v>37.8</v>
      </c>
      <c r="G5" s="14" t="n">
        <v>217.8</v>
      </c>
      <c r="H5" s="19" t="inlineStr">
        <is>
          <t>15/07/2026</t>
        </is>
      </c>
      <c r="I5" s="19" t="inlineStr">
        <is>
          <t>18/07/2026</t>
        </is>
      </c>
      <c r="J5" s="28" t="inlineStr">
        <is>
          <t>Cobrada</t>
        </is>
      </c>
      <c r="K5" s="19" t="n">
        <v>3</v>
      </c>
      <c r="L5" s="19" t="inlineStr"/>
    </row>
    <row r="6">
      <c r="A6" s="18" t="inlineStr"/>
      <c r="B6" s="18" t="inlineStr"/>
      <c r="C6" s="18" t="inlineStr"/>
      <c r="D6" s="18" t="inlineStr"/>
      <c r="E6" s="18" t="inlineStr"/>
      <c r="F6" s="18" t="inlineStr"/>
      <c r="G6" s="18" t="inlineStr"/>
      <c r="H6" s="18" t="inlineStr"/>
      <c r="I6" s="18" t="inlineStr"/>
      <c r="J6" s="18" t="inlineStr"/>
      <c r="K6" s="18" t="inlineStr"/>
      <c r="L6" s="18" t="inlineStr"/>
    </row>
    <row r="7">
      <c r="A7" s="19" t="inlineStr"/>
      <c r="B7" s="19" t="inlineStr"/>
      <c r="C7" s="19" t="inlineStr"/>
      <c r="D7" s="19" t="inlineStr"/>
      <c r="E7" s="19" t="inlineStr"/>
      <c r="F7" s="19" t="inlineStr"/>
      <c r="G7" s="19" t="inlineStr"/>
      <c r="H7" s="19" t="inlineStr"/>
      <c r="I7" s="19" t="inlineStr"/>
      <c r="J7" s="19" t="inlineStr"/>
      <c r="K7" s="19" t="inlineStr"/>
      <c r="L7" s="19" t="inlineStr"/>
    </row>
    <row r="8">
      <c r="A8" s="18" t="inlineStr"/>
      <c r="B8" s="18" t="inlineStr"/>
      <c r="C8" s="18" t="inlineStr"/>
      <c r="D8" s="18" t="inlineStr"/>
      <c r="E8" s="18" t="inlineStr"/>
      <c r="F8" s="18" t="inlineStr"/>
      <c r="G8" s="18" t="inlineStr"/>
      <c r="H8" s="18" t="inlineStr"/>
      <c r="I8" s="18" t="inlineStr"/>
      <c r="J8" s="18" t="inlineStr"/>
      <c r="K8" s="18" t="inlineStr"/>
      <c r="L8" s="18" t="inlineStr"/>
    </row>
    <row r="9">
      <c r="A9" s="19" t="inlineStr"/>
      <c r="B9" s="19" t="inlineStr"/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</row>
    <row r="10">
      <c r="A10" s="18" t="inlineStr"/>
      <c r="B10" s="18" t="inlineStr"/>
      <c r="C10" s="18" t="inlineStr"/>
      <c r="D10" s="18" t="inlineStr"/>
      <c r="E10" s="18" t="inlineStr"/>
      <c r="F10" s="18" t="inlineStr"/>
      <c r="G10" s="18" t="inlineStr"/>
      <c r="H10" s="18" t="inlineStr"/>
      <c r="I10" s="18" t="inlineStr"/>
      <c r="J10" s="18" t="inlineStr"/>
      <c r="K10" s="18" t="inlineStr"/>
      <c r="L10" s="18" t="inlineStr"/>
    </row>
    <row r="11">
      <c r="A11" s="19" t="inlineStr"/>
      <c r="B11" s="19" t="inlineStr"/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</row>
    <row r="12">
      <c r="A12" s="18" t="inlineStr"/>
      <c r="B12" s="18" t="inlineStr"/>
      <c r="C12" s="18" t="inlineStr"/>
      <c r="D12" s="18" t="inlineStr"/>
      <c r="E12" s="18" t="inlineStr"/>
      <c r="F12" s="18" t="inlineStr"/>
      <c r="G12" s="18" t="inlineStr"/>
      <c r="H12" s="18" t="inlineStr"/>
      <c r="I12" s="18" t="inlineStr"/>
      <c r="J12" s="18" t="inlineStr"/>
      <c r="K12" s="18" t="inlineStr"/>
      <c r="L12" s="18" t="inlineStr"/>
    </row>
    <row r="13">
      <c r="A13" s="19" t="inlineStr"/>
      <c r="B13" s="19" t="inlineStr"/>
      <c r="C13" s="19" t="inlineStr"/>
      <c r="D13" s="19" t="inlineStr"/>
      <c r="E13" s="19" t="inlineStr"/>
      <c r="F13" s="19" t="inlineStr"/>
      <c r="G13" s="19" t="inlineStr"/>
      <c r="H13" s="19" t="inlineStr"/>
      <c r="I13" s="19" t="inlineStr"/>
      <c r="J13" s="19" t="inlineStr"/>
      <c r="K13" s="19" t="inlineStr"/>
      <c r="L13" s="19" t="inlineStr"/>
    </row>
    <row r="14">
      <c r="A14" s="18" t="inlineStr"/>
      <c r="B14" s="18" t="inlineStr"/>
      <c r="C14" s="18" t="inlineStr"/>
      <c r="D14" s="18" t="inlineStr"/>
      <c r="E14" s="18" t="inlineStr"/>
      <c r="F14" s="18" t="inlineStr"/>
      <c r="G14" s="18" t="inlineStr"/>
      <c r="H14" s="18" t="inlineStr"/>
      <c r="I14" s="18" t="inlineStr"/>
      <c r="J14" s="18" t="inlineStr"/>
      <c r="K14" s="18" t="inlineStr"/>
      <c r="L14" s="18" t="inlineStr"/>
    </row>
    <row r="15">
      <c r="A15" s="19" t="inlineStr"/>
      <c r="B15" s="19" t="inlineStr"/>
      <c r="C15" s="19" t="inlineStr"/>
      <c r="D15" s="19" t="inlineStr"/>
      <c r="E15" s="19" t="inlineStr"/>
      <c r="F15" s="19" t="inlineStr"/>
      <c r="G15" s="19" t="inlineStr"/>
      <c r="H15" s="19" t="inlineStr"/>
      <c r="I15" s="19" t="inlineStr"/>
      <c r="J15" s="19" t="inlineStr"/>
      <c r="K15" s="19" t="inlineStr"/>
      <c r="L15" s="19" t="inlineStr"/>
    </row>
    <row r="16">
      <c r="A16" s="18" t="inlineStr"/>
      <c r="B16" s="18" t="inlineStr"/>
      <c r="C16" s="18" t="inlineStr"/>
      <c r="D16" s="18" t="inlineStr"/>
      <c r="E16" s="18" t="inlineStr"/>
      <c r="F16" s="18" t="inlineStr"/>
      <c r="G16" s="18" t="inlineStr"/>
      <c r="H16" s="18" t="inlineStr"/>
      <c r="I16" s="18" t="inlineStr"/>
      <c r="J16" s="18" t="inlineStr"/>
      <c r="K16" s="18" t="inlineStr"/>
      <c r="L16" s="18" t="inlineStr"/>
    </row>
    <row r="17">
      <c r="A17" s="19" t="inlineStr"/>
      <c r="B17" s="19" t="inlineStr"/>
      <c r="C17" s="19" t="inlineStr"/>
      <c r="D17" s="19" t="inlineStr"/>
      <c r="E17" s="19" t="inlineStr"/>
      <c r="F17" s="19" t="inlineStr"/>
      <c r="G17" s="19" t="inlineStr"/>
      <c r="H17" s="19" t="inlineStr"/>
      <c r="I17" s="19" t="inlineStr"/>
      <c r="J17" s="19" t="inlineStr"/>
      <c r="K17" s="19" t="inlineStr"/>
      <c r="L17" s="19" t="inlineStr"/>
    </row>
    <row r="18">
      <c r="A18" s="18" t="inlineStr"/>
      <c r="B18" s="18" t="inlineStr"/>
      <c r="C18" s="18" t="inlineStr"/>
      <c r="D18" s="18" t="inlineStr"/>
      <c r="E18" s="18" t="inlineStr"/>
      <c r="F18" s="18" t="inlineStr"/>
      <c r="G18" s="18" t="inlineStr"/>
      <c r="H18" s="18" t="inlineStr"/>
      <c r="I18" s="18" t="inlineStr"/>
      <c r="J18" s="18" t="inlineStr"/>
      <c r="K18" s="18" t="inlineStr"/>
      <c r="L18" s="18" t="inlineStr"/>
    </row>
    <row r="19">
      <c r="A19" s="19" t="inlineStr"/>
      <c r="B19" s="19" t="inlineStr"/>
      <c r="C19" s="19" t="inlineStr"/>
      <c r="D19" s="19" t="inlineStr"/>
      <c r="E19" s="19" t="inlineStr"/>
      <c r="F19" s="19" t="inlineStr"/>
      <c r="G19" s="19" t="inlineStr"/>
      <c r="H19" s="19" t="inlineStr"/>
      <c r="I19" s="19" t="inlineStr"/>
      <c r="J19" s="19" t="inlineStr"/>
      <c r="K19" s="19" t="inlineStr"/>
      <c r="L19" s="19" t="inlineStr"/>
    </row>
    <row r="20">
      <c r="A20" s="18" t="inlineStr"/>
      <c r="B20" s="18" t="inlineStr"/>
      <c r="C20" s="18" t="inlineStr"/>
      <c r="D20" s="18" t="inlineStr"/>
      <c r="E20" s="18" t="inlineStr"/>
      <c r="F20" s="18" t="inlineStr"/>
      <c r="G20" s="18" t="inlineStr"/>
      <c r="H20" s="18" t="inlineStr"/>
      <c r="I20" s="18" t="inlineStr"/>
      <c r="J20" s="18" t="inlineStr"/>
      <c r="K20" s="18" t="inlineStr"/>
      <c r="L20" s="18" t="inlineStr"/>
    </row>
    <row r="21">
      <c r="A21" s="19" t="inlineStr"/>
      <c r="B21" s="19" t="inlineStr"/>
      <c r="C21" s="19" t="inlineStr"/>
      <c r="D21" s="19" t="inlineStr"/>
      <c r="E21" s="19" t="inlineStr"/>
      <c r="F21" s="19" t="inlineStr"/>
      <c r="G21" s="19" t="inlineStr"/>
      <c r="H21" s="19" t="inlineStr"/>
      <c r="I21" s="19" t="inlineStr"/>
      <c r="J21" s="19" t="inlineStr"/>
      <c r="K21" s="19" t="inlineStr"/>
      <c r="L21" s="19" t="inlineStr"/>
    </row>
    <row r="22">
      <c r="A22" s="18" t="inlineStr"/>
      <c r="B22" s="18" t="inlineStr"/>
      <c r="C22" s="18" t="inlineStr"/>
      <c r="D22" s="18" t="inlineStr"/>
      <c r="E22" s="18" t="inlineStr"/>
      <c r="F22" s="18" t="inlineStr"/>
      <c r="G22" s="18" t="inlineStr"/>
      <c r="H22" s="18" t="inlineStr"/>
      <c r="I22" s="18" t="inlineStr"/>
      <c r="J22" s="18" t="inlineStr"/>
      <c r="K22" s="18" t="inlineStr"/>
      <c r="L22" s="18" t="inlineStr"/>
    </row>
    <row r="23">
      <c r="A23" s="19" t="inlineStr"/>
      <c r="B23" s="19" t="inlineStr"/>
      <c r="C23" s="19" t="inlineStr"/>
      <c r="D23" s="19" t="inlineStr"/>
      <c r="E23" s="19" t="inlineStr"/>
      <c r="F23" s="19" t="inlineStr"/>
      <c r="G23" s="19" t="inlineStr"/>
      <c r="H23" s="19" t="inlineStr"/>
      <c r="I23" s="19" t="inlineStr"/>
      <c r="J23" s="19" t="inlineStr"/>
      <c r="K23" s="19" t="inlineStr"/>
      <c r="L23" s="19" t="inlineStr"/>
    </row>
    <row r="24">
      <c r="A24" s="18" t="inlineStr"/>
      <c r="B24" s="18" t="inlineStr"/>
      <c r="C24" s="18" t="inlineStr"/>
      <c r="D24" s="18" t="inlineStr"/>
      <c r="E24" s="18" t="inlineStr"/>
      <c r="F24" s="18" t="inlineStr"/>
      <c r="G24" s="18" t="inlineStr"/>
      <c r="H24" s="18" t="inlineStr"/>
      <c r="I24" s="18" t="inlineStr"/>
      <c r="J24" s="18" t="inlineStr"/>
      <c r="K24" s="18" t="inlineStr"/>
      <c r="L24" s="18" t="inlineStr"/>
    </row>
    <row r="25">
      <c r="A25" s="19" t="inlineStr"/>
      <c r="B25" s="19" t="inlineStr"/>
      <c r="C25" s="19" t="inlineStr"/>
      <c r="D25" s="19" t="inlineStr"/>
      <c r="E25" s="19" t="inlineStr"/>
      <c r="F25" s="19" t="inlineStr"/>
      <c r="G25" s="19" t="inlineStr"/>
      <c r="H25" s="19" t="inlineStr"/>
      <c r="I25" s="19" t="inlineStr"/>
      <c r="J25" s="19" t="inlineStr"/>
      <c r="K25" s="19" t="inlineStr"/>
      <c r="L25" s="19" t="inlineStr"/>
    </row>
    <row r="26">
      <c r="A26" s="18" t="inlineStr"/>
      <c r="B26" s="18" t="inlineStr"/>
      <c r="C26" s="18" t="inlineStr"/>
      <c r="D26" s="18" t="inlineStr"/>
      <c r="E26" s="18" t="inlineStr"/>
      <c r="F26" s="18" t="inlineStr"/>
      <c r="G26" s="18" t="inlineStr"/>
      <c r="H26" s="18" t="inlineStr"/>
      <c r="I26" s="18" t="inlineStr"/>
      <c r="J26" s="18" t="inlineStr"/>
      <c r="K26" s="18" t="inlineStr"/>
      <c r="L26" s="18" t="inlineStr"/>
    </row>
    <row r="27">
      <c r="A27" s="19" t="inlineStr"/>
      <c r="B27" s="19" t="inlineStr"/>
      <c r="C27" s="19" t="inlineStr"/>
      <c r="D27" s="19" t="inlineStr"/>
      <c r="E27" s="19" t="inlineStr"/>
      <c r="F27" s="19" t="inlineStr"/>
      <c r="G27" s="19" t="inlineStr"/>
      <c r="H27" s="19" t="inlineStr"/>
      <c r="I27" s="19" t="inlineStr"/>
      <c r="J27" s="19" t="inlineStr"/>
      <c r="K27" s="19" t="inlineStr"/>
      <c r="L27" s="19" t="inlineStr"/>
    </row>
    <row r="28">
      <c r="A28" s="18" t="inlineStr"/>
      <c r="B28" s="18" t="inlineStr"/>
      <c r="C28" s="18" t="inlineStr"/>
      <c r="D28" s="18" t="inlineStr"/>
      <c r="E28" s="18" t="inlineStr"/>
      <c r="F28" s="18" t="inlineStr"/>
      <c r="G28" s="18" t="inlineStr"/>
      <c r="H28" s="18" t="inlineStr"/>
      <c r="I28" s="18" t="inlineStr"/>
      <c r="J28" s="18" t="inlineStr"/>
      <c r="K28" s="18" t="inlineStr"/>
      <c r="L28" s="18" t="inlineStr"/>
    </row>
    <row r="29">
      <c r="A29" s="19" t="inlineStr"/>
      <c r="B29" s="19" t="inlineStr"/>
      <c r="C29" s="19" t="inlineStr"/>
      <c r="D29" s="19" t="inlineStr"/>
      <c r="E29" s="19" t="inlineStr"/>
      <c r="F29" s="19" t="inlineStr"/>
      <c r="G29" s="19" t="inlineStr"/>
      <c r="H29" s="19" t="inlineStr"/>
      <c r="I29" s="19" t="inlineStr"/>
      <c r="J29" s="19" t="inlineStr"/>
      <c r="K29" s="19" t="inlineStr"/>
      <c r="L29" s="19" t="inlineStr"/>
    </row>
    <row r="30">
      <c r="A30" s="18" t="inlineStr"/>
      <c r="B30" s="18" t="inlineStr"/>
      <c r="C30" s="18" t="inlineStr"/>
      <c r="D30" s="18" t="inlineStr"/>
      <c r="E30" s="18" t="inlineStr"/>
      <c r="F30" s="18" t="inlineStr"/>
      <c r="G30" s="18" t="inlineStr"/>
      <c r="H30" s="18" t="inlineStr"/>
      <c r="I30" s="18" t="inlineStr"/>
      <c r="J30" s="18" t="inlineStr"/>
      <c r="K30" s="18" t="inlineStr"/>
      <c r="L30" s="18" t="inlineStr"/>
    </row>
    <row r="31">
      <c r="A31" s="19" t="inlineStr"/>
      <c r="B31" s="19" t="inlineStr"/>
      <c r="C31" s="19" t="inlineStr"/>
      <c r="D31" s="19" t="inlineStr"/>
      <c r="E31" s="19" t="inlineStr"/>
      <c r="F31" s="19" t="inlineStr"/>
      <c r="G31" s="19" t="inlineStr"/>
      <c r="H31" s="19" t="inlineStr"/>
      <c r="I31" s="19" t="inlineStr"/>
      <c r="J31" s="19" t="inlineStr"/>
      <c r="K31" s="19" t="inlineStr"/>
      <c r="L31" s="19" t="inlineStr"/>
    </row>
    <row r="32">
      <c r="A32" s="18" t="inlineStr"/>
      <c r="B32" s="18" t="inlineStr"/>
      <c r="C32" s="18" t="inlineStr"/>
      <c r="D32" s="18" t="inlineStr"/>
      <c r="E32" s="18" t="inlineStr"/>
      <c r="F32" s="18" t="inlineStr"/>
      <c r="G32" s="18" t="inlineStr"/>
      <c r="H32" s="18" t="inlineStr"/>
      <c r="I32" s="18" t="inlineStr"/>
      <c r="J32" s="18" t="inlineStr"/>
      <c r="K32" s="18" t="inlineStr"/>
      <c r="L32" s="18" t="inlineStr"/>
    </row>
    <row r="33">
      <c r="A33" s="19" t="inlineStr"/>
      <c r="B33" s="19" t="inlineStr"/>
      <c r="C33" s="19" t="inlineStr"/>
      <c r="D33" s="19" t="inlineStr"/>
      <c r="E33" s="19" t="inlineStr"/>
      <c r="F33" s="19" t="inlineStr"/>
      <c r="G33" s="19" t="inlineStr"/>
      <c r="H33" s="19" t="inlineStr"/>
      <c r="I33" s="19" t="inlineStr"/>
      <c r="J33" s="19" t="inlineStr"/>
      <c r="K33" s="19" t="inlineStr"/>
      <c r="L33" s="19" t="inlineStr"/>
    </row>
    <row r="34">
      <c r="A34" s="18" t="inlineStr"/>
      <c r="B34" s="18" t="inlineStr"/>
      <c r="C34" s="18" t="inlineStr"/>
      <c r="D34" s="18" t="inlineStr"/>
      <c r="E34" s="18" t="inlineStr"/>
      <c r="F34" s="18" t="inlineStr"/>
      <c r="G34" s="18" t="inlineStr"/>
      <c r="H34" s="18" t="inlineStr"/>
      <c r="I34" s="18" t="inlineStr"/>
      <c r="J34" s="18" t="inlineStr"/>
      <c r="K34" s="18" t="inlineStr"/>
      <c r="L34" s="18" t="inlineStr"/>
    </row>
    <row r="35">
      <c r="A35" s="19" t="inlineStr"/>
      <c r="B35" s="19" t="inlineStr"/>
      <c r="C35" s="19" t="inlineStr"/>
      <c r="D35" s="19" t="inlineStr"/>
      <c r="E35" s="19" t="inlineStr"/>
      <c r="F35" s="19" t="inlineStr"/>
      <c r="G35" s="19" t="inlineStr"/>
      <c r="H35" s="19" t="inlineStr"/>
      <c r="I35" s="19" t="inlineStr"/>
      <c r="J35" s="19" t="inlineStr"/>
      <c r="K35" s="19" t="inlineStr"/>
      <c r="L35" s="19" t="inlineStr"/>
    </row>
    <row r="36">
      <c r="A36" s="18" t="inlineStr"/>
      <c r="B36" s="18" t="inlineStr"/>
      <c r="C36" s="18" t="inlineStr"/>
      <c r="D36" s="18" t="inlineStr"/>
      <c r="E36" s="18" t="inlineStr"/>
      <c r="F36" s="18" t="inlineStr"/>
      <c r="G36" s="18" t="inlineStr"/>
      <c r="H36" s="18" t="inlineStr"/>
      <c r="I36" s="18" t="inlineStr"/>
      <c r="J36" s="18" t="inlineStr"/>
      <c r="K36" s="18" t="inlineStr"/>
      <c r="L36" s="18" t="inlineStr"/>
    </row>
    <row r="37">
      <c r="A37" s="19" t="inlineStr"/>
      <c r="B37" s="19" t="inlineStr"/>
      <c r="C37" s="19" t="inlineStr"/>
      <c r="D37" s="19" t="inlineStr"/>
      <c r="E37" s="19" t="inlineStr"/>
      <c r="F37" s="19" t="inlineStr"/>
      <c r="G37" s="19" t="inlineStr"/>
      <c r="H37" s="19" t="inlineStr"/>
      <c r="I37" s="19" t="inlineStr"/>
      <c r="J37" s="19" t="inlineStr"/>
      <c r="K37" s="19" t="inlineStr"/>
      <c r="L37" s="19" t="inlineStr"/>
    </row>
    <row r="38">
      <c r="A38" s="18" t="inlineStr"/>
      <c r="B38" s="18" t="inlineStr"/>
      <c r="C38" s="18" t="inlineStr"/>
      <c r="D38" s="18" t="inlineStr"/>
      <c r="E38" s="18" t="inlineStr"/>
      <c r="F38" s="18" t="inlineStr"/>
      <c r="G38" s="18" t="inlineStr"/>
      <c r="H38" s="18" t="inlineStr"/>
      <c r="I38" s="18" t="inlineStr"/>
      <c r="J38" s="18" t="inlineStr"/>
      <c r="K38" s="18" t="inlineStr"/>
      <c r="L38" s="18" t="inlineStr"/>
    </row>
    <row r="39">
      <c r="A39" s="19" t="inlineStr"/>
      <c r="B39" s="19" t="inlineStr"/>
      <c r="C39" s="19" t="inlineStr"/>
      <c r="D39" s="19" t="inlineStr"/>
      <c r="E39" s="19" t="inlineStr"/>
      <c r="F39" s="19" t="inlineStr"/>
      <c r="G39" s="19" t="inlineStr"/>
      <c r="H39" s="19" t="inlineStr"/>
      <c r="I39" s="19" t="inlineStr"/>
      <c r="J39" s="19" t="inlineStr"/>
      <c r="K39" s="19" t="inlineStr"/>
      <c r="L39" s="19" t="inlineStr"/>
    </row>
    <row r="40">
      <c r="A40" s="18" t="inlineStr"/>
      <c r="B40" s="18" t="inlineStr"/>
      <c r="C40" s="18" t="inlineStr"/>
      <c r="D40" s="18" t="inlineStr"/>
      <c r="E40" s="18" t="inlineStr"/>
      <c r="F40" s="18" t="inlineStr"/>
      <c r="G40" s="18" t="inlineStr"/>
      <c r="H40" s="18" t="inlineStr"/>
      <c r="I40" s="18" t="inlineStr"/>
      <c r="J40" s="18" t="inlineStr"/>
      <c r="K40" s="18" t="inlineStr"/>
      <c r="L40" s="18" t="inlineStr"/>
    </row>
    <row r="41">
      <c r="A41" s="19" t="inlineStr"/>
      <c r="B41" s="19" t="inlineStr"/>
      <c r="C41" s="19" t="inlineStr"/>
      <c r="D41" s="19" t="inlineStr"/>
      <c r="E41" s="19" t="inlineStr"/>
      <c r="F41" s="19" t="inlineStr"/>
      <c r="G41" s="19" t="inlineStr"/>
      <c r="H41" s="19" t="inlineStr"/>
      <c r="I41" s="19" t="inlineStr"/>
      <c r="J41" s="19" t="inlineStr"/>
      <c r="K41" s="19" t="inlineStr"/>
      <c r="L41" s="19" t="inlineStr"/>
    </row>
    <row r="42">
      <c r="A42" s="18" t="inlineStr"/>
      <c r="B42" s="18" t="inlineStr"/>
      <c r="C42" s="18" t="inlineStr"/>
      <c r="D42" s="18" t="inlineStr"/>
      <c r="E42" s="18" t="inlineStr"/>
      <c r="F42" s="18" t="inlineStr"/>
      <c r="G42" s="18" t="inlineStr"/>
      <c r="H42" s="18" t="inlineStr"/>
      <c r="I42" s="18" t="inlineStr"/>
      <c r="J42" s="18" t="inlineStr"/>
      <c r="K42" s="18" t="inlineStr"/>
      <c r="L42" s="18" t="inlineStr"/>
    </row>
    <row r="43">
      <c r="A43" s="19" t="inlineStr"/>
      <c r="B43" s="19" t="inlineStr"/>
      <c r="C43" s="19" t="inlineStr"/>
      <c r="D43" s="19" t="inlineStr"/>
      <c r="E43" s="19" t="inlineStr"/>
      <c r="F43" s="19" t="inlineStr"/>
      <c r="G43" s="19" t="inlineStr"/>
      <c r="H43" s="19" t="inlineStr"/>
      <c r="I43" s="19" t="inlineStr"/>
      <c r="J43" s="19" t="inlineStr"/>
      <c r="K43" s="19" t="inlineStr"/>
      <c r="L43" s="19" t="inlineStr"/>
    </row>
    <row r="44">
      <c r="A44" s="18" t="inlineStr"/>
      <c r="B44" s="18" t="inlineStr"/>
      <c r="C44" s="18" t="inlineStr"/>
      <c r="D44" s="18" t="inlineStr"/>
      <c r="E44" s="18" t="inlineStr"/>
      <c r="F44" s="18" t="inlineStr"/>
      <c r="G44" s="18" t="inlineStr"/>
      <c r="H44" s="18" t="inlineStr"/>
      <c r="I44" s="18" t="inlineStr"/>
      <c r="J44" s="18" t="inlineStr"/>
      <c r="K44" s="18" t="inlineStr"/>
      <c r="L44" s="18" t="inlineStr"/>
    </row>
    <row r="45">
      <c r="A45" s="19" t="inlineStr"/>
      <c r="B45" s="19" t="inlineStr"/>
      <c r="C45" s="19" t="inlineStr"/>
      <c r="D45" s="19" t="inlineStr"/>
      <c r="E45" s="19" t="inlineStr"/>
      <c r="F45" s="19" t="inlineStr"/>
      <c r="G45" s="19" t="inlineStr"/>
      <c r="H45" s="19" t="inlineStr"/>
      <c r="I45" s="19" t="inlineStr"/>
      <c r="J45" s="19" t="inlineStr"/>
      <c r="K45" s="19" t="inlineStr"/>
      <c r="L45" s="19" t="inlineStr"/>
    </row>
  </sheetData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L15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32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32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</cols>
  <sheetData>
    <row r="1">
      <c r="A1" s="1" t="inlineStr">
        <is>
          <t>ESCENARIO 1 EMPLEADO – Estructura completa (1.430€/mes)</t>
        </is>
      </c>
      <c r="W1" s="30" t="inlineStr">
        <is>
          <t>ESCENARIO 3 EMPLEADOS – Estructura completa (1.430€/mes)</t>
        </is>
      </c>
      <c r="AS1" s="31" t="inlineStr">
        <is>
          <t>ESCENARIO 5 EMPLEADOS – Estructura completa (1.430€/mes)</t>
        </is>
      </c>
    </row>
    <row r="2">
      <c r="A2" s="32" t="inlineStr">
        <is>
          <t>Concepto</t>
        </is>
      </c>
      <c r="B2" s="33" t="inlineStr">
        <is>
          <t>Jul'26</t>
        </is>
      </c>
      <c r="C2" s="33" t="inlineStr">
        <is>
          <t>Ago'26</t>
        </is>
      </c>
      <c r="D2" s="33" t="inlineStr">
        <is>
          <t>Sep'26</t>
        </is>
      </c>
      <c r="E2" s="33" t="inlineStr">
        <is>
          <t>Oct'26</t>
        </is>
      </c>
      <c r="F2" s="33" t="inlineStr">
        <is>
          <t>Nov'26</t>
        </is>
      </c>
      <c r="G2" s="33" t="inlineStr">
        <is>
          <t>Dic'26</t>
        </is>
      </c>
      <c r="H2" s="33" t="inlineStr">
        <is>
          <t>Ene'27</t>
        </is>
      </c>
      <c r="I2" s="33" t="inlineStr">
        <is>
          <t>Feb'27</t>
        </is>
      </c>
      <c r="J2" s="33" t="inlineStr">
        <is>
          <t>Mar'27</t>
        </is>
      </c>
      <c r="K2" s="33" t="inlineStr">
        <is>
          <t>Abr'27</t>
        </is>
      </c>
      <c r="L2" s="33" t="inlineStr">
        <is>
          <t>May'27</t>
        </is>
      </c>
      <c r="M2" s="33" t="inlineStr">
        <is>
          <t>Jun'27</t>
        </is>
      </c>
      <c r="N2" s="33" t="inlineStr">
        <is>
          <t>Jul'27</t>
        </is>
      </c>
      <c r="O2" s="33" t="inlineStr">
        <is>
          <t>Ago'27</t>
        </is>
      </c>
      <c r="P2" s="33" t="inlineStr">
        <is>
          <t>Sep'27</t>
        </is>
      </c>
      <c r="Q2" s="33" t="inlineStr">
        <is>
          <t>Oct'27</t>
        </is>
      </c>
      <c r="R2" s="33" t="inlineStr">
        <is>
          <t>Nov'27</t>
        </is>
      </c>
      <c r="S2" s="33" t="inlineStr">
        <is>
          <t>Dic'27</t>
        </is>
      </c>
      <c r="T2" s="34" t="inlineStr">
        <is>
          <t>TOTAL 18M</t>
        </is>
      </c>
      <c r="W2" s="35" t="inlineStr">
        <is>
          <t>Concepto</t>
        </is>
      </c>
      <c r="X2" s="33" t="inlineStr">
        <is>
          <t>Jul'26</t>
        </is>
      </c>
      <c r="Y2" s="33" t="inlineStr">
        <is>
          <t>Ago'26</t>
        </is>
      </c>
      <c r="Z2" s="33" t="inlineStr">
        <is>
          <t>Sep'26</t>
        </is>
      </c>
      <c r="AA2" s="33" t="inlineStr">
        <is>
          <t>Oct'26</t>
        </is>
      </c>
      <c r="AB2" s="33" t="inlineStr">
        <is>
          <t>Nov'26</t>
        </is>
      </c>
      <c r="AC2" s="33" t="inlineStr">
        <is>
          <t>Dic'26</t>
        </is>
      </c>
      <c r="AD2" s="33" t="inlineStr">
        <is>
          <t>Ene'27</t>
        </is>
      </c>
      <c r="AE2" s="33" t="inlineStr">
        <is>
          <t>Feb'27</t>
        </is>
      </c>
      <c r="AF2" s="33" t="inlineStr">
        <is>
          <t>Mar'27</t>
        </is>
      </c>
      <c r="AG2" s="33" t="inlineStr">
        <is>
          <t>Abr'27</t>
        </is>
      </c>
      <c r="AH2" s="33" t="inlineStr">
        <is>
          <t>May'27</t>
        </is>
      </c>
      <c r="AI2" s="33" t="inlineStr">
        <is>
          <t>Jun'27</t>
        </is>
      </c>
      <c r="AJ2" s="33" t="inlineStr">
        <is>
          <t>Jul'27</t>
        </is>
      </c>
      <c r="AK2" s="33" t="inlineStr">
        <is>
          <t>Ago'27</t>
        </is>
      </c>
      <c r="AL2" s="33" t="inlineStr">
        <is>
          <t>Sep'27</t>
        </is>
      </c>
      <c r="AM2" s="33" t="inlineStr">
        <is>
          <t>Oct'27</t>
        </is>
      </c>
      <c r="AN2" s="33" t="inlineStr">
        <is>
          <t>Nov'27</t>
        </is>
      </c>
      <c r="AO2" s="33" t="inlineStr">
        <is>
          <t>Dic'27</t>
        </is>
      </c>
      <c r="AP2" s="34" t="inlineStr">
        <is>
          <t>TOTAL 18M</t>
        </is>
      </c>
      <c r="AS2" s="28" t="inlineStr">
        <is>
          <t>Concepto</t>
        </is>
      </c>
      <c r="AT2" s="33" t="inlineStr">
        <is>
          <t>Jul'26</t>
        </is>
      </c>
      <c r="AU2" s="33" t="inlineStr">
        <is>
          <t>Ago'26</t>
        </is>
      </c>
      <c r="AV2" s="33" t="inlineStr">
        <is>
          <t>Sep'26</t>
        </is>
      </c>
      <c r="AW2" s="33" t="inlineStr">
        <is>
          <t>Oct'26</t>
        </is>
      </c>
      <c r="AX2" s="33" t="inlineStr">
        <is>
          <t>Nov'26</t>
        </is>
      </c>
      <c r="AY2" s="33" t="inlineStr">
        <is>
          <t>Dic'26</t>
        </is>
      </c>
      <c r="AZ2" s="33" t="inlineStr">
        <is>
          <t>Ene'27</t>
        </is>
      </c>
      <c r="BA2" s="33" t="inlineStr">
        <is>
          <t>Feb'27</t>
        </is>
      </c>
      <c r="BB2" s="33" t="inlineStr">
        <is>
          <t>Mar'27</t>
        </is>
      </c>
      <c r="BC2" s="33" t="inlineStr">
        <is>
          <t>Abr'27</t>
        </is>
      </c>
      <c r="BD2" s="33" t="inlineStr">
        <is>
          <t>May'27</t>
        </is>
      </c>
      <c r="BE2" s="33" t="inlineStr">
        <is>
          <t>Jun'27</t>
        </is>
      </c>
      <c r="BF2" s="33" t="inlineStr">
        <is>
          <t>Jul'27</t>
        </is>
      </c>
      <c r="BG2" s="33" t="inlineStr">
        <is>
          <t>Ago'27</t>
        </is>
      </c>
      <c r="BH2" s="33" t="inlineStr">
        <is>
          <t>Sep'27</t>
        </is>
      </c>
      <c r="BI2" s="33" t="inlineStr">
        <is>
          <t>Oct'27</t>
        </is>
      </c>
      <c r="BJ2" s="33" t="inlineStr">
        <is>
          <t>Nov'27</t>
        </is>
      </c>
      <c r="BK2" s="33" t="inlineStr">
        <is>
          <t>Dic'27</t>
        </is>
      </c>
      <c r="BL2" s="34" t="inlineStr">
        <is>
          <t>TOTAL 18M</t>
        </is>
      </c>
    </row>
    <row r="3">
      <c r="A3" s="36" t="inlineStr">
        <is>
          <t>Horas B2B facturadas</t>
        </is>
      </c>
      <c r="B3" s="37" t="n">
        <v>34.453125</v>
      </c>
      <c r="C3" s="37" t="n">
        <v>44.296875</v>
      </c>
      <c r="D3" s="37" t="n">
        <v>54.140625</v>
      </c>
      <c r="E3" s="37" t="n">
        <v>63.98437499999999</v>
      </c>
      <c r="F3" s="37" t="n">
        <v>68.90625</v>
      </c>
      <c r="G3" s="37" t="n">
        <v>70.875</v>
      </c>
      <c r="H3" s="37" t="n">
        <v>73.828125</v>
      </c>
      <c r="I3" s="37" t="n">
        <v>73.828125</v>
      </c>
      <c r="J3" s="37" t="n">
        <v>76.78125</v>
      </c>
      <c r="K3" s="37" t="n">
        <v>78.75</v>
      </c>
      <c r="L3" s="37" t="n">
        <v>80.71875</v>
      </c>
      <c r="M3" s="37" t="n">
        <v>83.671875</v>
      </c>
      <c r="N3" s="37" t="n">
        <v>83.671875</v>
      </c>
      <c r="O3" s="37" t="n">
        <v>80.71875</v>
      </c>
      <c r="P3" s="37" t="n">
        <v>85.640625</v>
      </c>
      <c r="Q3" s="37" t="n">
        <v>86.625</v>
      </c>
      <c r="R3" s="37" t="n">
        <v>88.59375</v>
      </c>
      <c r="S3" s="37" t="n">
        <v>88.59375</v>
      </c>
      <c r="T3" s="38" t="n">
        <v>88.59375</v>
      </c>
      <c r="W3" s="36" t="inlineStr">
        <is>
          <t>Horas B2B facturadas</t>
        </is>
      </c>
      <c r="X3" s="37" t="n">
        <v>103.359375</v>
      </c>
      <c r="Y3" s="37" t="n">
        <v>132.890625</v>
      </c>
      <c r="Z3" s="37" t="n">
        <v>162.421875</v>
      </c>
      <c r="AA3" s="37" t="n">
        <v>191.953125</v>
      </c>
      <c r="AB3" s="37" t="n">
        <v>206.71875</v>
      </c>
      <c r="AC3" s="37" t="n">
        <v>212.625</v>
      </c>
      <c r="AD3" s="37" t="n">
        <v>221.484375</v>
      </c>
      <c r="AE3" s="37" t="n">
        <v>221.484375</v>
      </c>
      <c r="AF3" s="37" t="n">
        <v>230.34375</v>
      </c>
      <c r="AG3" s="37" t="n">
        <v>236.25</v>
      </c>
      <c r="AH3" s="37" t="n">
        <v>242.15625</v>
      </c>
      <c r="AI3" s="37" t="n">
        <v>251.015625</v>
      </c>
      <c r="AJ3" s="37" t="n">
        <v>251.015625</v>
      </c>
      <c r="AK3" s="37" t="n">
        <v>242.15625</v>
      </c>
      <c r="AL3" s="37" t="n">
        <v>256.921875</v>
      </c>
      <c r="AM3" s="37" t="n">
        <v>259.875</v>
      </c>
      <c r="AN3" s="37" t="n">
        <v>265.78125</v>
      </c>
      <c r="AO3" s="37" t="n">
        <v>265.78125</v>
      </c>
      <c r="AP3" s="38" t="n">
        <v>265.78125</v>
      </c>
      <c r="AS3" s="36" t="inlineStr">
        <is>
          <t>Horas B2B facturadas</t>
        </is>
      </c>
      <c r="AT3" s="37" t="n">
        <v>172.265625</v>
      </c>
      <c r="AU3" s="37" t="n">
        <v>221.484375</v>
      </c>
      <c r="AV3" s="37" t="n">
        <v>270.703125</v>
      </c>
      <c r="AW3" s="37" t="n">
        <v>319.921875</v>
      </c>
      <c r="AX3" s="37" t="n">
        <v>344.5312499999999</v>
      </c>
      <c r="AY3" s="37" t="n">
        <v>354.375</v>
      </c>
      <c r="AZ3" s="37" t="n">
        <v>369.140625</v>
      </c>
      <c r="BA3" s="37" t="n">
        <v>369.140625</v>
      </c>
      <c r="BB3" s="37" t="n">
        <v>383.90625</v>
      </c>
      <c r="BC3" s="37" t="n">
        <v>393.75</v>
      </c>
      <c r="BD3" s="37" t="n">
        <v>403.59375</v>
      </c>
      <c r="BE3" s="37" t="n">
        <v>418.359375</v>
      </c>
      <c r="BF3" s="37" t="n">
        <v>418.359375</v>
      </c>
      <c r="BG3" s="37" t="n">
        <v>403.59375</v>
      </c>
      <c r="BH3" s="37" t="n">
        <v>428.203125</v>
      </c>
      <c r="BI3" s="37" t="n">
        <v>433.125</v>
      </c>
      <c r="BJ3" s="37" t="n">
        <v>442.96875</v>
      </c>
      <c r="BK3" s="37" t="n">
        <v>442.96875</v>
      </c>
      <c r="BL3" s="38" t="n">
        <v>442.96875</v>
      </c>
    </row>
    <row r="4">
      <c r="A4" s="36" t="inlineStr">
        <is>
          <t>Horas B2C facturadas</t>
        </is>
      </c>
      <c r="B4" s="37" t="n">
        <v>14.765625</v>
      </c>
      <c r="C4" s="37" t="n">
        <v>18.984375</v>
      </c>
      <c r="D4" s="37" t="n">
        <v>23.203125</v>
      </c>
      <c r="E4" s="37" t="n">
        <v>27.421875</v>
      </c>
      <c r="F4" s="37" t="n">
        <v>29.53125</v>
      </c>
      <c r="G4" s="37" t="n">
        <v>30.375</v>
      </c>
      <c r="H4" s="37" t="n">
        <v>31.640625</v>
      </c>
      <c r="I4" s="37" t="n">
        <v>31.640625</v>
      </c>
      <c r="J4" s="37" t="n">
        <v>32.90625</v>
      </c>
      <c r="K4" s="37" t="n">
        <v>33.75</v>
      </c>
      <c r="L4" s="37" t="n">
        <v>34.59375</v>
      </c>
      <c r="M4" s="37" t="n">
        <v>35.859375</v>
      </c>
      <c r="N4" s="37" t="n">
        <v>35.859375</v>
      </c>
      <c r="O4" s="37" t="n">
        <v>34.59375</v>
      </c>
      <c r="P4" s="37" t="n">
        <v>36.703125</v>
      </c>
      <c r="Q4" s="37" t="n">
        <v>37.125</v>
      </c>
      <c r="R4" s="37" t="n">
        <v>37.96875</v>
      </c>
      <c r="S4" s="37" t="n">
        <v>37.96875</v>
      </c>
      <c r="T4" s="38" t="n">
        <v>37.96875</v>
      </c>
      <c r="W4" s="36" t="inlineStr">
        <is>
          <t>Horas B2C facturadas</t>
        </is>
      </c>
      <c r="X4" s="37" t="n">
        <v>44.296875</v>
      </c>
      <c r="Y4" s="37" t="n">
        <v>56.953125</v>
      </c>
      <c r="Z4" s="37" t="n">
        <v>69.609375</v>
      </c>
      <c r="AA4" s="37" t="n">
        <v>82.265625</v>
      </c>
      <c r="AB4" s="37" t="n">
        <v>88.59375</v>
      </c>
      <c r="AC4" s="37" t="n">
        <v>91.125</v>
      </c>
      <c r="AD4" s="37" t="n">
        <v>94.921875</v>
      </c>
      <c r="AE4" s="37" t="n">
        <v>94.921875</v>
      </c>
      <c r="AF4" s="37" t="n">
        <v>98.71875</v>
      </c>
      <c r="AG4" s="37" t="n">
        <v>101.25</v>
      </c>
      <c r="AH4" s="37" t="n">
        <v>103.78125</v>
      </c>
      <c r="AI4" s="37" t="n">
        <v>107.578125</v>
      </c>
      <c r="AJ4" s="37" t="n">
        <v>107.578125</v>
      </c>
      <c r="AK4" s="37" t="n">
        <v>103.78125</v>
      </c>
      <c r="AL4" s="37" t="n">
        <v>110.109375</v>
      </c>
      <c r="AM4" s="37" t="n">
        <v>111.375</v>
      </c>
      <c r="AN4" s="37" t="n">
        <v>113.90625</v>
      </c>
      <c r="AO4" s="37" t="n">
        <v>113.90625</v>
      </c>
      <c r="AP4" s="38" t="n">
        <v>113.90625</v>
      </c>
      <c r="AS4" s="36" t="inlineStr">
        <is>
          <t>Horas B2C facturadas</t>
        </is>
      </c>
      <c r="AT4" s="37" t="n">
        <v>73.82812499999999</v>
      </c>
      <c r="AU4" s="37" t="n">
        <v>94.921875</v>
      </c>
      <c r="AV4" s="37" t="n">
        <v>116.015625</v>
      </c>
      <c r="AW4" s="37" t="n">
        <v>137.109375</v>
      </c>
      <c r="AX4" s="37" t="n">
        <v>147.65625</v>
      </c>
      <c r="AY4" s="37" t="n">
        <v>151.875</v>
      </c>
      <c r="AZ4" s="37" t="n">
        <v>158.203125</v>
      </c>
      <c r="BA4" s="37" t="n">
        <v>158.203125</v>
      </c>
      <c r="BB4" s="37" t="n">
        <v>164.53125</v>
      </c>
      <c r="BC4" s="37" t="n">
        <v>168.75</v>
      </c>
      <c r="BD4" s="37" t="n">
        <v>172.96875</v>
      </c>
      <c r="BE4" s="37" t="n">
        <v>179.296875</v>
      </c>
      <c r="BF4" s="37" t="n">
        <v>179.296875</v>
      </c>
      <c r="BG4" s="37" t="n">
        <v>172.96875</v>
      </c>
      <c r="BH4" s="37" t="n">
        <v>183.515625</v>
      </c>
      <c r="BI4" s="37" t="n">
        <v>185.625</v>
      </c>
      <c r="BJ4" s="37" t="n">
        <v>189.84375</v>
      </c>
      <c r="BK4" s="37" t="n">
        <v>189.84375</v>
      </c>
      <c r="BL4" s="38" t="n">
        <v>189.84375</v>
      </c>
    </row>
    <row r="5">
      <c r="A5" s="36" t="inlineStr">
        <is>
          <t>Ingresos B2B (s/IVA) 22,03€/h</t>
        </is>
      </c>
      <c r="B5" s="5" t="n">
        <v>759.00234375</v>
      </c>
      <c r="C5" s="5" t="n">
        <v>975.86015625</v>
      </c>
      <c r="D5" s="5" t="n">
        <v>1192.71796875</v>
      </c>
      <c r="E5" s="5" t="n">
        <v>1409.57578125</v>
      </c>
      <c r="F5" s="5" t="n">
        <v>1518.0046875</v>
      </c>
      <c r="G5" s="5" t="n">
        <v>1561.37625</v>
      </c>
      <c r="H5" s="5" t="n">
        <v>1626.43359375</v>
      </c>
      <c r="I5" s="5" t="n">
        <v>1626.43359375</v>
      </c>
      <c r="J5" s="5" t="n">
        <v>1691.4909375</v>
      </c>
      <c r="K5" s="5" t="n">
        <v>1734.8625</v>
      </c>
      <c r="L5" s="5" t="n">
        <v>1778.2340625</v>
      </c>
      <c r="M5" s="5" t="n">
        <v>1843.29140625</v>
      </c>
      <c r="N5" s="5" t="n">
        <v>1843.29140625</v>
      </c>
      <c r="O5" s="5" t="n">
        <v>1778.2340625</v>
      </c>
      <c r="P5" s="5" t="n">
        <v>1886.66296875</v>
      </c>
      <c r="Q5" s="5" t="n">
        <v>1908.34875</v>
      </c>
      <c r="R5" s="5" t="n">
        <v>1951.7203125</v>
      </c>
      <c r="S5" s="5" t="n">
        <v>1951.7203125</v>
      </c>
      <c r="T5" s="39" t="n">
        <v>29037.26109375</v>
      </c>
      <c r="W5" s="36" t="inlineStr">
        <is>
          <t>Ingresos B2B (s/IVA) 22,03€/h</t>
        </is>
      </c>
      <c r="X5" s="5" t="n">
        <v>2277.00703125</v>
      </c>
      <c r="Y5" s="5" t="n">
        <v>2927.58046875</v>
      </c>
      <c r="Z5" s="5" t="n">
        <v>3578.15390625</v>
      </c>
      <c r="AA5" s="5" t="n">
        <v>4228.72734375</v>
      </c>
      <c r="AB5" s="5" t="n">
        <v>4554.0140625</v>
      </c>
      <c r="AC5" s="5" t="n">
        <v>4684.12875</v>
      </c>
      <c r="AD5" s="5" t="n">
        <v>4879.30078125</v>
      </c>
      <c r="AE5" s="5" t="n">
        <v>4879.30078125</v>
      </c>
      <c r="AF5" s="5" t="n">
        <v>5074.472812499999</v>
      </c>
      <c r="AG5" s="5" t="n">
        <v>5204.5875</v>
      </c>
      <c r="AH5" s="5" t="n">
        <v>5334.7021875</v>
      </c>
      <c r="AI5" s="5" t="n">
        <v>5529.874218749999</v>
      </c>
      <c r="AJ5" s="5" t="n">
        <v>5529.874218749999</v>
      </c>
      <c r="AK5" s="5" t="n">
        <v>5334.7021875</v>
      </c>
      <c r="AL5" s="5" t="n">
        <v>5659.988906250001</v>
      </c>
      <c r="AM5" s="5" t="n">
        <v>5725.04625</v>
      </c>
      <c r="AN5" s="5" t="n">
        <v>5855.160937500001</v>
      </c>
      <c r="AO5" s="5" t="n">
        <v>5855.160937500001</v>
      </c>
      <c r="AP5" s="39" t="n">
        <v>87111.78328125</v>
      </c>
      <c r="AS5" s="36" t="inlineStr">
        <is>
          <t>Ingresos B2B (s/IVA) 22,03€/h</t>
        </is>
      </c>
      <c r="AT5" s="5" t="n">
        <v>3795.01171875</v>
      </c>
      <c r="AU5" s="5" t="n">
        <v>4879.30078125</v>
      </c>
      <c r="AV5" s="5" t="n">
        <v>5963.58984375</v>
      </c>
      <c r="AW5" s="5" t="n">
        <v>7047.87890625</v>
      </c>
      <c r="AX5" s="5" t="n">
        <v>7590.023437499999</v>
      </c>
      <c r="AY5" s="5" t="n">
        <v>7806.88125</v>
      </c>
      <c r="AZ5" s="5" t="n">
        <v>8132.16796875</v>
      </c>
      <c r="BA5" s="5" t="n">
        <v>8132.16796875</v>
      </c>
      <c r="BB5" s="5" t="n">
        <v>8457.4546875</v>
      </c>
      <c r="BC5" s="5" t="n">
        <v>8674.3125</v>
      </c>
      <c r="BD5" s="5" t="n">
        <v>8891.1703125</v>
      </c>
      <c r="BE5" s="5" t="n">
        <v>9216.45703125</v>
      </c>
      <c r="BF5" s="5" t="n">
        <v>9216.45703125</v>
      </c>
      <c r="BG5" s="5" t="n">
        <v>8891.1703125</v>
      </c>
      <c r="BH5" s="5" t="n">
        <v>9433.31484375</v>
      </c>
      <c r="BI5" s="5" t="n">
        <v>9541.74375</v>
      </c>
      <c r="BJ5" s="5" t="n">
        <v>9758.6015625</v>
      </c>
      <c r="BK5" s="5" t="n">
        <v>9758.6015625</v>
      </c>
      <c r="BL5" s="39" t="n">
        <v>145186.30546875</v>
      </c>
    </row>
    <row r="6">
      <c r="A6" s="36" t="inlineStr">
        <is>
          <t>Ingresos B2C (s/IVA) 22,22€/h</t>
        </is>
      </c>
      <c r="B6" s="5" t="n">
        <v>331.93125</v>
      </c>
      <c r="C6" s="5" t="n">
        <v>426.76875</v>
      </c>
      <c r="D6" s="5" t="n">
        <v>521.60625</v>
      </c>
      <c r="E6" s="5" t="n">
        <v>616.44375</v>
      </c>
      <c r="F6" s="5" t="n">
        <v>663.8625000000001</v>
      </c>
      <c r="G6" s="5" t="n">
        <v>682.83</v>
      </c>
      <c r="H6" s="5" t="n">
        <v>711.28125</v>
      </c>
      <c r="I6" s="5" t="n">
        <v>711.28125</v>
      </c>
      <c r="J6" s="5" t="n">
        <v>739.7325</v>
      </c>
      <c r="K6" s="5" t="n">
        <v>758.7</v>
      </c>
      <c r="L6" s="5" t="n">
        <v>777.6675</v>
      </c>
      <c r="M6" s="5" t="n">
        <v>806.11875</v>
      </c>
      <c r="N6" s="5" t="n">
        <v>806.11875</v>
      </c>
      <c r="O6" s="5" t="n">
        <v>777.6675</v>
      </c>
      <c r="P6" s="5" t="n">
        <v>825.0862500000001</v>
      </c>
      <c r="Q6" s="5" t="n">
        <v>834.5700000000001</v>
      </c>
      <c r="R6" s="5" t="n">
        <v>853.5375</v>
      </c>
      <c r="S6" s="5" t="n">
        <v>853.5375</v>
      </c>
      <c r="T6" s="39" t="n">
        <v>12698.74125</v>
      </c>
      <c r="W6" s="36" t="inlineStr">
        <is>
          <t>Ingresos B2C (s/IVA) 22,22€/h</t>
        </is>
      </c>
      <c r="X6" s="5" t="n">
        <v>995.79375</v>
      </c>
      <c r="Y6" s="5" t="n">
        <v>1280.30625</v>
      </c>
      <c r="Z6" s="5" t="n">
        <v>1564.81875</v>
      </c>
      <c r="AA6" s="5" t="n">
        <v>1849.33125</v>
      </c>
      <c r="AB6" s="5" t="n">
        <v>1991.5875</v>
      </c>
      <c r="AC6" s="5" t="n">
        <v>2048.49</v>
      </c>
      <c r="AD6" s="5" t="n">
        <v>2133.84375</v>
      </c>
      <c r="AE6" s="5" t="n">
        <v>2133.84375</v>
      </c>
      <c r="AF6" s="5" t="n">
        <v>2219.1975</v>
      </c>
      <c r="AG6" s="5" t="n">
        <v>2276.1</v>
      </c>
      <c r="AH6" s="5" t="n">
        <v>2333.0025</v>
      </c>
      <c r="AI6" s="5" t="n">
        <v>2418.35625</v>
      </c>
      <c r="AJ6" s="5" t="n">
        <v>2418.35625</v>
      </c>
      <c r="AK6" s="5" t="n">
        <v>2333.0025</v>
      </c>
      <c r="AL6" s="5" t="n">
        <v>2475.25875</v>
      </c>
      <c r="AM6" s="5" t="n">
        <v>2503.71</v>
      </c>
      <c r="AN6" s="5" t="n">
        <v>2560.6125</v>
      </c>
      <c r="AO6" s="5" t="n">
        <v>2560.6125</v>
      </c>
      <c r="AP6" s="39" t="n">
        <v>38096.22375</v>
      </c>
      <c r="AS6" s="36" t="inlineStr">
        <is>
          <t>Ingresos B2C (s/IVA) 22,22€/h</t>
        </is>
      </c>
      <c r="AT6" s="5" t="n">
        <v>1659.65625</v>
      </c>
      <c r="AU6" s="5" t="n">
        <v>2133.84375</v>
      </c>
      <c r="AV6" s="5" t="n">
        <v>2608.03125</v>
      </c>
      <c r="AW6" s="5" t="n">
        <v>3082.21875</v>
      </c>
      <c r="AX6" s="5" t="n">
        <v>3319.3125</v>
      </c>
      <c r="AY6" s="5" t="n">
        <v>3414.15</v>
      </c>
      <c r="AZ6" s="5" t="n">
        <v>3556.40625</v>
      </c>
      <c r="BA6" s="5" t="n">
        <v>3556.40625</v>
      </c>
      <c r="BB6" s="5" t="n">
        <v>3698.6625</v>
      </c>
      <c r="BC6" s="5" t="n">
        <v>3793.5</v>
      </c>
      <c r="BD6" s="5" t="n">
        <v>3888.3375</v>
      </c>
      <c r="BE6" s="5" t="n">
        <v>4030.59375</v>
      </c>
      <c r="BF6" s="5" t="n">
        <v>4030.59375</v>
      </c>
      <c r="BG6" s="5" t="n">
        <v>3888.3375</v>
      </c>
      <c r="BH6" s="5" t="n">
        <v>4125.43125</v>
      </c>
      <c r="BI6" s="5" t="n">
        <v>4172.85</v>
      </c>
      <c r="BJ6" s="5" t="n">
        <v>4267.6875</v>
      </c>
      <c r="BK6" s="5" t="n">
        <v>4267.6875</v>
      </c>
      <c r="BL6" s="39" t="n">
        <v>63493.70625</v>
      </c>
    </row>
    <row r="7">
      <c r="A7" s="40" t="inlineStr">
        <is>
          <t>TOTAL INGRESOS</t>
        </is>
      </c>
      <c r="B7" s="5" t="n">
        <v>1090.93359375</v>
      </c>
      <c r="C7" s="5" t="n">
        <v>1402.62890625</v>
      </c>
      <c r="D7" s="5" t="n">
        <v>1714.32421875</v>
      </c>
      <c r="E7" s="5" t="n">
        <v>2026.01953125</v>
      </c>
      <c r="F7" s="5" t="n">
        <v>2181.8671875</v>
      </c>
      <c r="G7" s="5" t="n">
        <v>2244.20625</v>
      </c>
      <c r="H7" s="5" t="n">
        <v>2337.71484375</v>
      </c>
      <c r="I7" s="5" t="n">
        <v>2337.71484375</v>
      </c>
      <c r="J7" s="5" t="n">
        <v>2431.2234375</v>
      </c>
      <c r="K7" s="5" t="n">
        <v>2493.5625</v>
      </c>
      <c r="L7" s="5" t="n">
        <v>2555.9015625</v>
      </c>
      <c r="M7" s="5" t="n">
        <v>2649.41015625</v>
      </c>
      <c r="N7" s="5" t="n">
        <v>2649.41015625</v>
      </c>
      <c r="O7" s="5" t="n">
        <v>2555.9015625</v>
      </c>
      <c r="P7" s="5" t="n">
        <v>2711.74921875</v>
      </c>
      <c r="Q7" s="5" t="n">
        <v>2742.91875</v>
      </c>
      <c r="R7" s="5" t="n">
        <v>2805.2578125</v>
      </c>
      <c r="S7" s="5" t="n">
        <v>2805.2578125</v>
      </c>
      <c r="T7" s="39" t="n">
        <v>41736.00234375</v>
      </c>
      <c r="W7" s="40" t="inlineStr">
        <is>
          <t>TOTAL INGRESOS</t>
        </is>
      </c>
      <c r="X7" s="5" t="n">
        <v>3272.80078125</v>
      </c>
      <c r="Y7" s="5" t="n">
        <v>4207.88671875</v>
      </c>
      <c r="Z7" s="5" t="n">
        <v>5142.97265625</v>
      </c>
      <c r="AA7" s="5" t="n">
        <v>6078.05859375</v>
      </c>
      <c r="AB7" s="5" t="n">
        <v>6545.6015625</v>
      </c>
      <c r="AC7" s="5" t="n">
        <v>6732.61875</v>
      </c>
      <c r="AD7" s="5" t="n">
        <v>7013.14453125</v>
      </c>
      <c r="AE7" s="5" t="n">
        <v>7013.14453125</v>
      </c>
      <c r="AF7" s="5" t="n">
        <v>7293.670312499999</v>
      </c>
      <c r="AG7" s="5" t="n">
        <v>7480.6875</v>
      </c>
      <c r="AH7" s="5" t="n">
        <v>7667.7046875</v>
      </c>
      <c r="AI7" s="5" t="n">
        <v>7948.23046875</v>
      </c>
      <c r="AJ7" s="5" t="n">
        <v>7948.23046875</v>
      </c>
      <c r="AK7" s="5" t="n">
        <v>7667.7046875</v>
      </c>
      <c r="AL7" s="5" t="n">
        <v>8135.247656250001</v>
      </c>
      <c r="AM7" s="5" t="n">
        <v>8228.75625</v>
      </c>
      <c r="AN7" s="5" t="n">
        <v>8415.7734375</v>
      </c>
      <c r="AO7" s="5" t="n">
        <v>8415.7734375</v>
      </c>
      <c r="AP7" s="39" t="n">
        <v>125208.00703125</v>
      </c>
      <c r="AS7" s="40" t="inlineStr">
        <is>
          <t>TOTAL INGRESOS</t>
        </is>
      </c>
      <c r="AT7" s="5" t="n">
        <v>5454.667968749999</v>
      </c>
      <c r="AU7" s="5" t="n">
        <v>7013.14453125</v>
      </c>
      <c r="AV7" s="5" t="n">
        <v>8571.62109375</v>
      </c>
      <c r="AW7" s="5" t="n">
        <v>10130.09765625</v>
      </c>
      <c r="AX7" s="5" t="n">
        <v>10909.3359375</v>
      </c>
      <c r="AY7" s="5" t="n">
        <v>11221.03125</v>
      </c>
      <c r="AZ7" s="5" t="n">
        <v>11688.57421875</v>
      </c>
      <c r="BA7" s="5" t="n">
        <v>11688.57421875</v>
      </c>
      <c r="BB7" s="5" t="n">
        <v>12156.1171875</v>
      </c>
      <c r="BC7" s="5" t="n">
        <v>12467.8125</v>
      </c>
      <c r="BD7" s="5" t="n">
        <v>12779.5078125</v>
      </c>
      <c r="BE7" s="5" t="n">
        <v>13247.05078125</v>
      </c>
      <c r="BF7" s="5" t="n">
        <v>13247.05078125</v>
      </c>
      <c r="BG7" s="5" t="n">
        <v>12779.5078125</v>
      </c>
      <c r="BH7" s="5" t="n">
        <v>13558.74609375</v>
      </c>
      <c r="BI7" s="5" t="n">
        <v>13714.59375</v>
      </c>
      <c r="BJ7" s="5" t="n">
        <v>14026.2890625</v>
      </c>
      <c r="BK7" s="5" t="n">
        <v>14026.2890625</v>
      </c>
      <c r="BL7" s="39" t="n">
        <v>208680.01171875</v>
      </c>
    </row>
    <row r="8">
      <c r="A8" s="36" t="inlineStr">
        <is>
          <t>— Coste laboral empleados</t>
        </is>
      </c>
      <c r="B8" s="5" t="n">
        <v>-1753.345243393333</v>
      </c>
      <c r="C8" s="5" t="n">
        <v>-1753.345243393333</v>
      </c>
      <c r="D8" s="5" t="n">
        <v>-1753.345243393333</v>
      </c>
      <c r="E8" s="5" t="n">
        <v>-1753.345243393333</v>
      </c>
      <c r="F8" s="5" t="n">
        <v>-1753.345243393333</v>
      </c>
      <c r="G8" s="5" t="n">
        <v>-1753.345243393333</v>
      </c>
      <c r="H8" s="5" t="n">
        <v>-1753.345243393333</v>
      </c>
      <c r="I8" s="5" t="n">
        <v>-1753.345243393333</v>
      </c>
      <c r="J8" s="5" t="n">
        <v>-1753.345243393333</v>
      </c>
      <c r="K8" s="5" t="n">
        <v>-1753.345243393333</v>
      </c>
      <c r="L8" s="5" t="n">
        <v>-1753.345243393333</v>
      </c>
      <c r="M8" s="5" t="n">
        <v>-1753.345243393333</v>
      </c>
      <c r="N8" s="5" t="n">
        <v>-1753.345243393333</v>
      </c>
      <c r="O8" s="5" t="n">
        <v>-1753.345243393333</v>
      </c>
      <c r="P8" s="5" t="n">
        <v>-1753.345243393333</v>
      </c>
      <c r="Q8" s="5" t="n">
        <v>-1753.345243393333</v>
      </c>
      <c r="R8" s="5" t="n">
        <v>-1753.345243393333</v>
      </c>
      <c r="S8" s="5" t="n">
        <v>-1753.345243393333</v>
      </c>
      <c r="T8" s="39" t="n">
        <v>-31560.21438108</v>
      </c>
      <c r="W8" s="36" t="inlineStr">
        <is>
          <t>— Coste laboral empleados</t>
        </is>
      </c>
      <c r="X8" s="5" t="n">
        <v>-5260.03573018</v>
      </c>
      <c r="Y8" s="5" t="n">
        <v>-5260.03573018</v>
      </c>
      <c r="Z8" s="5" t="n">
        <v>-5260.03573018</v>
      </c>
      <c r="AA8" s="5" t="n">
        <v>-5260.03573018</v>
      </c>
      <c r="AB8" s="5" t="n">
        <v>-5260.03573018</v>
      </c>
      <c r="AC8" s="5" t="n">
        <v>-5260.03573018</v>
      </c>
      <c r="AD8" s="5" t="n">
        <v>-5260.03573018</v>
      </c>
      <c r="AE8" s="5" t="n">
        <v>-5260.03573018</v>
      </c>
      <c r="AF8" s="5" t="n">
        <v>-5260.03573018</v>
      </c>
      <c r="AG8" s="5" t="n">
        <v>-5260.03573018</v>
      </c>
      <c r="AH8" s="5" t="n">
        <v>-5260.03573018</v>
      </c>
      <c r="AI8" s="5" t="n">
        <v>-5260.03573018</v>
      </c>
      <c r="AJ8" s="5" t="n">
        <v>-5260.03573018</v>
      </c>
      <c r="AK8" s="5" t="n">
        <v>-5260.03573018</v>
      </c>
      <c r="AL8" s="5" t="n">
        <v>-5260.03573018</v>
      </c>
      <c r="AM8" s="5" t="n">
        <v>-5260.03573018</v>
      </c>
      <c r="AN8" s="5" t="n">
        <v>-5260.03573018</v>
      </c>
      <c r="AO8" s="5" t="n">
        <v>-5260.03573018</v>
      </c>
      <c r="AP8" s="39" t="n">
        <v>-94680.64314323995</v>
      </c>
      <c r="AS8" s="36" t="inlineStr">
        <is>
          <t>— Coste laboral empleados</t>
        </is>
      </c>
      <c r="AT8" s="5" t="n">
        <v>-8766.726216966666</v>
      </c>
      <c r="AU8" s="5" t="n">
        <v>-8766.726216966666</v>
      </c>
      <c r="AV8" s="5" t="n">
        <v>-8766.726216966666</v>
      </c>
      <c r="AW8" s="5" t="n">
        <v>-8766.726216966666</v>
      </c>
      <c r="AX8" s="5" t="n">
        <v>-8766.726216966666</v>
      </c>
      <c r="AY8" s="5" t="n">
        <v>-8766.726216966666</v>
      </c>
      <c r="AZ8" s="5" t="n">
        <v>-8766.726216966666</v>
      </c>
      <c r="BA8" s="5" t="n">
        <v>-8766.726216966666</v>
      </c>
      <c r="BB8" s="5" t="n">
        <v>-8766.726216966666</v>
      </c>
      <c r="BC8" s="5" t="n">
        <v>-8766.726216966666</v>
      </c>
      <c r="BD8" s="5" t="n">
        <v>-8766.726216966666</v>
      </c>
      <c r="BE8" s="5" t="n">
        <v>-8766.726216966666</v>
      </c>
      <c r="BF8" s="5" t="n">
        <v>-8766.726216966666</v>
      </c>
      <c r="BG8" s="5" t="n">
        <v>-8766.726216966666</v>
      </c>
      <c r="BH8" s="5" t="n">
        <v>-8766.726216966666</v>
      </c>
      <c r="BI8" s="5" t="n">
        <v>-8766.726216966666</v>
      </c>
      <c r="BJ8" s="5" t="n">
        <v>-8766.726216966666</v>
      </c>
      <c r="BK8" s="5" t="n">
        <v>-8766.726216966666</v>
      </c>
      <c r="BL8" s="39" t="n">
        <v>-157801.0719054</v>
      </c>
    </row>
    <row r="9">
      <c r="A9" s="36" t="inlineStr">
        <is>
          <t>— Cuota autónomo titular</t>
        </is>
      </c>
      <c r="B9" s="5" t="n">
        <v>-80</v>
      </c>
      <c r="C9" s="5" t="n">
        <v>-80</v>
      </c>
      <c r="D9" s="5" t="n">
        <v>-80</v>
      </c>
      <c r="E9" s="5" t="n">
        <v>-80</v>
      </c>
      <c r="F9" s="5" t="n">
        <v>-80</v>
      </c>
      <c r="G9" s="5" t="n">
        <v>-80</v>
      </c>
      <c r="H9" s="5" t="n">
        <v>-160</v>
      </c>
      <c r="I9" s="5" t="n">
        <v>-160</v>
      </c>
      <c r="J9" s="5" t="n">
        <v>-160</v>
      </c>
      <c r="K9" s="5" t="n">
        <v>-160</v>
      </c>
      <c r="L9" s="5" t="n">
        <v>-160</v>
      </c>
      <c r="M9" s="5" t="n">
        <v>-160</v>
      </c>
      <c r="N9" s="5" t="n">
        <v>-320</v>
      </c>
      <c r="O9" s="5" t="n">
        <v>-320</v>
      </c>
      <c r="P9" s="5" t="n">
        <v>-320</v>
      </c>
      <c r="Q9" s="5" t="n">
        <v>-320</v>
      </c>
      <c r="R9" s="5" t="n">
        <v>-320</v>
      </c>
      <c r="S9" s="5" t="n">
        <v>-320</v>
      </c>
      <c r="T9" s="39" t="n">
        <v>-3360</v>
      </c>
      <c r="W9" s="36" t="inlineStr">
        <is>
          <t>— Cuota autónomo titular</t>
        </is>
      </c>
      <c r="X9" s="5" t="n">
        <v>-80</v>
      </c>
      <c r="Y9" s="5" t="n">
        <v>-80</v>
      </c>
      <c r="Z9" s="5" t="n">
        <v>-80</v>
      </c>
      <c r="AA9" s="5" t="n">
        <v>-80</v>
      </c>
      <c r="AB9" s="5" t="n">
        <v>-80</v>
      </c>
      <c r="AC9" s="5" t="n">
        <v>-80</v>
      </c>
      <c r="AD9" s="5" t="n">
        <v>-160</v>
      </c>
      <c r="AE9" s="5" t="n">
        <v>-160</v>
      </c>
      <c r="AF9" s="5" t="n">
        <v>-160</v>
      </c>
      <c r="AG9" s="5" t="n">
        <v>-160</v>
      </c>
      <c r="AH9" s="5" t="n">
        <v>-160</v>
      </c>
      <c r="AI9" s="5" t="n">
        <v>-160</v>
      </c>
      <c r="AJ9" s="5" t="n">
        <v>-320</v>
      </c>
      <c r="AK9" s="5" t="n">
        <v>-320</v>
      </c>
      <c r="AL9" s="5" t="n">
        <v>-320</v>
      </c>
      <c r="AM9" s="5" t="n">
        <v>-320</v>
      </c>
      <c r="AN9" s="5" t="n">
        <v>-320</v>
      </c>
      <c r="AO9" s="5" t="n">
        <v>-320</v>
      </c>
      <c r="AP9" s="39" t="n">
        <v>-3360</v>
      </c>
      <c r="AS9" s="36" t="inlineStr">
        <is>
          <t>— Cuota autónomo titular</t>
        </is>
      </c>
      <c r="AT9" s="5" t="n">
        <v>-80</v>
      </c>
      <c r="AU9" s="5" t="n">
        <v>-80</v>
      </c>
      <c r="AV9" s="5" t="n">
        <v>-80</v>
      </c>
      <c r="AW9" s="5" t="n">
        <v>-80</v>
      </c>
      <c r="AX9" s="5" t="n">
        <v>-80</v>
      </c>
      <c r="AY9" s="5" t="n">
        <v>-80</v>
      </c>
      <c r="AZ9" s="5" t="n">
        <v>-160</v>
      </c>
      <c r="BA9" s="5" t="n">
        <v>-160</v>
      </c>
      <c r="BB9" s="5" t="n">
        <v>-160</v>
      </c>
      <c r="BC9" s="5" t="n">
        <v>-160</v>
      </c>
      <c r="BD9" s="5" t="n">
        <v>-160</v>
      </c>
      <c r="BE9" s="5" t="n">
        <v>-160</v>
      </c>
      <c r="BF9" s="5" t="n">
        <v>-320</v>
      </c>
      <c r="BG9" s="5" t="n">
        <v>-320</v>
      </c>
      <c r="BH9" s="5" t="n">
        <v>-320</v>
      </c>
      <c r="BI9" s="5" t="n">
        <v>-320</v>
      </c>
      <c r="BJ9" s="5" t="n">
        <v>-320</v>
      </c>
      <c r="BK9" s="5" t="n">
        <v>-320</v>
      </c>
      <c r="BL9" s="39" t="n">
        <v>-3360</v>
      </c>
    </row>
    <row r="10">
      <c r="A10" s="36" t="inlineStr">
        <is>
          <t>— Materiales y transporte</t>
        </is>
      </c>
      <c r="B10" s="5" t="n">
        <v>-37.16015624999999</v>
      </c>
      <c r="C10" s="5" t="n">
        <v>-47.77734374999999</v>
      </c>
      <c r="D10" s="5" t="n">
        <v>-58.39453124999999</v>
      </c>
      <c r="E10" s="5" t="n">
        <v>-69.01171874999999</v>
      </c>
      <c r="F10" s="5" t="n">
        <v>-74.32031249999999</v>
      </c>
      <c r="G10" s="5" t="n">
        <v>-76.44374999999999</v>
      </c>
      <c r="H10" s="5" t="n">
        <v>-79.62890624999999</v>
      </c>
      <c r="I10" s="5" t="n">
        <v>-79.62890624999999</v>
      </c>
      <c r="J10" s="5" t="n">
        <v>-82.81406249999999</v>
      </c>
      <c r="K10" s="5" t="n">
        <v>-84.93749999999999</v>
      </c>
      <c r="L10" s="5" t="n">
        <v>-87.06093749999999</v>
      </c>
      <c r="M10" s="5" t="n">
        <v>-90.24609374999999</v>
      </c>
      <c r="N10" s="5" t="n">
        <v>-90.24609374999999</v>
      </c>
      <c r="O10" s="5" t="n">
        <v>-87.06093749999999</v>
      </c>
      <c r="P10" s="5" t="n">
        <v>-92.36953124999998</v>
      </c>
      <c r="Q10" s="5" t="n">
        <v>-93.43124999999999</v>
      </c>
      <c r="R10" s="5" t="n">
        <v>-95.55468749999999</v>
      </c>
      <c r="S10" s="5" t="n">
        <v>-95.55468749999999</v>
      </c>
      <c r="T10" s="39" t="n">
        <v>-1421.64140625</v>
      </c>
      <c r="W10" s="36" t="inlineStr">
        <is>
          <t>— Materiales y transporte</t>
        </is>
      </c>
      <c r="X10" s="5" t="n">
        <v>-111.48046875</v>
      </c>
      <c r="Y10" s="5" t="n">
        <v>-143.33203125</v>
      </c>
      <c r="Z10" s="5" t="n">
        <v>-175.18359375</v>
      </c>
      <c r="AA10" s="5" t="n">
        <v>-207.03515625</v>
      </c>
      <c r="AB10" s="5" t="n">
        <v>-222.9609375</v>
      </c>
      <c r="AC10" s="5" t="n">
        <v>-229.33125</v>
      </c>
      <c r="AD10" s="5" t="n">
        <v>-238.88671875</v>
      </c>
      <c r="AE10" s="5" t="n">
        <v>-238.88671875</v>
      </c>
      <c r="AF10" s="5" t="n">
        <v>-248.4421875</v>
      </c>
      <c r="AG10" s="5" t="n">
        <v>-254.8125</v>
      </c>
      <c r="AH10" s="5" t="n">
        <v>-261.1828125</v>
      </c>
      <c r="AI10" s="5" t="n">
        <v>-270.7382812499999</v>
      </c>
      <c r="AJ10" s="5" t="n">
        <v>-270.7382812499999</v>
      </c>
      <c r="AK10" s="5" t="n">
        <v>-261.1828125</v>
      </c>
      <c r="AL10" s="5" t="n">
        <v>-277.10859375</v>
      </c>
      <c r="AM10" s="5" t="n">
        <v>-280.29375</v>
      </c>
      <c r="AN10" s="5" t="n">
        <v>-286.6640624999999</v>
      </c>
      <c r="AO10" s="5" t="n">
        <v>-286.6640624999999</v>
      </c>
      <c r="AP10" s="39" t="n">
        <v>-4264.924218749999</v>
      </c>
      <c r="AS10" s="36" t="inlineStr">
        <is>
          <t>— Materiales y transporte</t>
        </is>
      </c>
      <c r="AT10" s="5" t="n">
        <v>-185.8007812499999</v>
      </c>
      <c r="AU10" s="5" t="n">
        <v>-238.88671875</v>
      </c>
      <c r="AV10" s="5" t="n">
        <v>-291.97265625</v>
      </c>
      <c r="AW10" s="5" t="n">
        <v>-345.0585937499999</v>
      </c>
      <c r="AX10" s="5" t="n">
        <v>-371.6015624999999</v>
      </c>
      <c r="AY10" s="5" t="n">
        <v>-382.2187499999999</v>
      </c>
      <c r="AZ10" s="5" t="n">
        <v>-398.1445312499999</v>
      </c>
      <c r="BA10" s="5" t="n">
        <v>-398.1445312499999</v>
      </c>
      <c r="BB10" s="5" t="n">
        <v>-414.0703124999999</v>
      </c>
      <c r="BC10" s="5" t="n">
        <v>-424.6874999999999</v>
      </c>
      <c r="BD10" s="5" t="n">
        <v>-435.3046874999999</v>
      </c>
      <c r="BE10" s="5" t="n">
        <v>-451.2304687499999</v>
      </c>
      <c r="BF10" s="5" t="n">
        <v>-451.2304687499999</v>
      </c>
      <c r="BG10" s="5" t="n">
        <v>-435.3046874999999</v>
      </c>
      <c r="BH10" s="5" t="n">
        <v>-461.8476562499999</v>
      </c>
      <c r="BI10" s="5" t="n">
        <v>-467.1562499999999</v>
      </c>
      <c r="BJ10" s="5" t="n">
        <v>-477.7734374999999</v>
      </c>
      <c r="BK10" s="5" t="n">
        <v>-477.7734374999999</v>
      </c>
      <c r="BL10" s="39" t="n">
        <v>-7108.207031249999</v>
      </c>
    </row>
    <row r="11">
      <c r="A11" s="36" t="inlineStr">
        <is>
          <t>— Estructura fija</t>
        </is>
      </c>
      <c r="B11" s="5" t="n">
        <v>-1430</v>
      </c>
      <c r="C11" s="5" t="n">
        <v>-1430</v>
      </c>
      <c r="D11" s="5" t="n">
        <v>-1430</v>
      </c>
      <c r="E11" s="5" t="n">
        <v>-1430</v>
      </c>
      <c r="F11" s="5" t="n">
        <v>-1430</v>
      </c>
      <c r="G11" s="5" t="n">
        <v>-1430</v>
      </c>
      <c r="H11" s="5" t="n">
        <v>-1430</v>
      </c>
      <c r="I11" s="5" t="n">
        <v>-1430</v>
      </c>
      <c r="J11" s="5" t="n">
        <v>-1430</v>
      </c>
      <c r="K11" s="5" t="n">
        <v>-1430</v>
      </c>
      <c r="L11" s="5" t="n">
        <v>-1430</v>
      </c>
      <c r="M11" s="5" t="n">
        <v>-1430</v>
      </c>
      <c r="N11" s="5" t="n">
        <v>-1430</v>
      </c>
      <c r="O11" s="5" t="n">
        <v>-1430</v>
      </c>
      <c r="P11" s="5" t="n">
        <v>-1430</v>
      </c>
      <c r="Q11" s="5" t="n">
        <v>-1430</v>
      </c>
      <c r="R11" s="5" t="n">
        <v>-1430</v>
      </c>
      <c r="S11" s="5" t="n">
        <v>-1430</v>
      </c>
      <c r="T11" s="39" t="n">
        <v>-25740</v>
      </c>
      <c r="W11" s="36" t="inlineStr">
        <is>
          <t>— Estructura fija</t>
        </is>
      </c>
      <c r="X11" s="5" t="n">
        <v>-1430</v>
      </c>
      <c r="Y11" s="5" t="n">
        <v>-1430</v>
      </c>
      <c r="Z11" s="5" t="n">
        <v>-1430</v>
      </c>
      <c r="AA11" s="5" t="n">
        <v>-1430</v>
      </c>
      <c r="AB11" s="5" t="n">
        <v>-1430</v>
      </c>
      <c r="AC11" s="5" t="n">
        <v>-1430</v>
      </c>
      <c r="AD11" s="5" t="n">
        <v>-1430</v>
      </c>
      <c r="AE11" s="5" t="n">
        <v>-1430</v>
      </c>
      <c r="AF11" s="5" t="n">
        <v>-1430</v>
      </c>
      <c r="AG11" s="5" t="n">
        <v>-1430</v>
      </c>
      <c r="AH11" s="5" t="n">
        <v>-1430</v>
      </c>
      <c r="AI11" s="5" t="n">
        <v>-1430</v>
      </c>
      <c r="AJ11" s="5" t="n">
        <v>-1430</v>
      </c>
      <c r="AK11" s="5" t="n">
        <v>-1430</v>
      </c>
      <c r="AL11" s="5" t="n">
        <v>-1430</v>
      </c>
      <c r="AM11" s="5" t="n">
        <v>-1430</v>
      </c>
      <c r="AN11" s="5" t="n">
        <v>-1430</v>
      </c>
      <c r="AO11" s="5" t="n">
        <v>-1430</v>
      </c>
      <c r="AP11" s="39" t="n">
        <v>-25740</v>
      </c>
      <c r="AS11" s="36" t="inlineStr">
        <is>
          <t>— Estructura fija</t>
        </is>
      </c>
      <c r="AT11" s="5" t="n">
        <v>-1430</v>
      </c>
      <c r="AU11" s="5" t="n">
        <v>-1430</v>
      </c>
      <c r="AV11" s="5" t="n">
        <v>-1430</v>
      </c>
      <c r="AW11" s="5" t="n">
        <v>-1430</v>
      </c>
      <c r="AX11" s="5" t="n">
        <v>-1430</v>
      </c>
      <c r="AY11" s="5" t="n">
        <v>-1430</v>
      </c>
      <c r="AZ11" s="5" t="n">
        <v>-1430</v>
      </c>
      <c r="BA11" s="5" t="n">
        <v>-1430</v>
      </c>
      <c r="BB11" s="5" t="n">
        <v>-1430</v>
      </c>
      <c r="BC11" s="5" t="n">
        <v>-1430</v>
      </c>
      <c r="BD11" s="5" t="n">
        <v>-1430</v>
      </c>
      <c r="BE11" s="5" t="n">
        <v>-1430</v>
      </c>
      <c r="BF11" s="5" t="n">
        <v>-1430</v>
      </c>
      <c r="BG11" s="5" t="n">
        <v>-1430</v>
      </c>
      <c r="BH11" s="5" t="n">
        <v>-1430</v>
      </c>
      <c r="BI11" s="5" t="n">
        <v>-1430</v>
      </c>
      <c r="BJ11" s="5" t="n">
        <v>-1430</v>
      </c>
      <c r="BK11" s="5" t="n">
        <v>-1430</v>
      </c>
      <c r="BL11" s="39" t="n">
        <v>-25740</v>
      </c>
    </row>
    <row r="12">
      <c r="A12" s="40" t="inlineStr">
        <is>
          <t>TOTAL COSTES</t>
        </is>
      </c>
      <c r="B12" s="5" t="n">
        <v>-3300.505399643333</v>
      </c>
      <c r="C12" s="5" t="n">
        <v>-3311.122587143333</v>
      </c>
      <c r="D12" s="5" t="n">
        <v>-3321.739774643333</v>
      </c>
      <c r="E12" s="5" t="n">
        <v>-3332.356962143333</v>
      </c>
      <c r="F12" s="5" t="n">
        <v>-3337.665555893333</v>
      </c>
      <c r="G12" s="5" t="n">
        <v>-3339.788993393333</v>
      </c>
      <c r="H12" s="5" t="n">
        <v>-3422.974149643333</v>
      </c>
      <c r="I12" s="5" t="n">
        <v>-3422.974149643333</v>
      </c>
      <c r="J12" s="5" t="n">
        <v>-3426.159305893333</v>
      </c>
      <c r="K12" s="5" t="n">
        <v>-3428.282743393333</v>
      </c>
      <c r="L12" s="5" t="n">
        <v>-3430.406180893333</v>
      </c>
      <c r="M12" s="5" t="n">
        <v>-3433.591337143333</v>
      </c>
      <c r="N12" s="5" t="n">
        <v>-3593.591337143333</v>
      </c>
      <c r="O12" s="5" t="n">
        <v>-3590.406180893333</v>
      </c>
      <c r="P12" s="5" t="n">
        <v>-3595.714774643333</v>
      </c>
      <c r="Q12" s="5" t="n">
        <v>-3596.776493393334</v>
      </c>
      <c r="R12" s="5" t="n">
        <v>-3598.899930893333</v>
      </c>
      <c r="S12" s="5" t="n">
        <v>-3598.899930893333</v>
      </c>
      <c r="T12" s="39" t="n">
        <v>-62081.85578733001</v>
      </c>
      <c r="W12" s="40" t="inlineStr">
        <is>
          <t>TOTAL COSTES</t>
        </is>
      </c>
      <c r="X12" s="5" t="n">
        <v>-6881.51619893</v>
      </c>
      <c r="Y12" s="5" t="n">
        <v>-6913.36776143</v>
      </c>
      <c r="Z12" s="5" t="n">
        <v>-6945.21932393</v>
      </c>
      <c r="AA12" s="5" t="n">
        <v>-6977.07088643</v>
      </c>
      <c r="AB12" s="5" t="n">
        <v>-6992.99666768</v>
      </c>
      <c r="AC12" s="5" t="n">
        <v>-6999.36698018</v>
      </c>
      <c r="AD12" s="5" t="n">
        <v>-7088.92244893</v>
      </c>
      <c r="AE12" s="5" t="n">
        <v>-7088.92244893</v>
      </c>
      <c r="AF12" s="5" t="n">
        <v>-7098.477917679999</v>
      </c>
      <c r="AG12" s="5" t="n">
        <v>-7104.84823018</v>
      </c>
      <c r="AH12" s="5" t="n">
        <v>-7111.21854268</v>
      </c>
      <c r="AI12" s="5" t="n">
        <v>-7120.77401143</v>
      </c>
      <c r="AJ12" s="5" t="n">
        <v>-7280.77401143</v>
      </c>
      <c r="AK12" s="5" t="n">
        <v>-7271.21854268</v>
      </c>
      <c r="AL12" s="5" t="n">
        <v>-7287.14432393</v>
      </c>
      <c r="AM12" s="5" t="n">
        <v>-7290.329480179999</v>
      </c>
      <c r="AN12" s="5" t="n">
        <v>-7296.69979268</v>
      </c>
      <c r="AO12" s="5" t="n">
        <v>-7296.69979268</v>
      </c>
      <c r="AP12" s="39" t="n">
        <v>-128045.56736199</v>
      </c>
      <c r="AS12" s="40" t="inlineStr">
        <is>
          <t>TOTAL COSTES</t>
        </is>
      </c>
      <c r="AT12" s="5" t="n">
        <v>-10462.52699821667</v>
      </c>
      <c r="AU12" s="5" t="n">
        <v>-10515.61293571667</v>
      </c>
      <c r="AV12" s="5" t="n">
        <v>-10568.69887321667</v>
      </c>
      <c r="AW12" s="5" t="n">
        <v>-10621.78481071667</v>
      </c>
      <c r="AX12" s="5" t="n">
        <v>-10648.32777946667</v>
      </c>
      <c r="AY12" s="5" t="n">
        <v>-10658.94496696667</v>
      </c>
      <c r="AZ12" s="5" t="n">
        <v>-10754.87074821667</v>
      </c>
      <c r="BA12" s="5" t="n">
        <v>-10754.87074821667</v>
      </c>
      <c r="BB12" s="5" t="n">
        <v>-10770.79652946667</v>
      </c>
      <c r="BC12" s="5" t="n">
        <v>-10781.41371696667</v>
      </c>
      <c r="BD12" s="5" t="n">
        <v>-10792.03090446667</v>
      </c>
      <c r="BE12" s="5" t="n">
        <v>-10807.95668571667</v>
      </c>
      <c r="BF12" s="5" t="n">
        <v>-10967.95668571667</v>
      </c>
      <c r="BG12" s="5" t="n">
        <v>-10952.03090446667</v>
      </c>
      <c r="BH12" s="5" t="n">
        <v>-10978.57387321667</v>
      </c>
      <c r="BI12" s="5" t="n">
        <v>-10983.88246696667</v>
      </c>
      <c r="BJ12" s="5" t="n">
        <v>-10994.49965446667</v>
      </c>
      <c r="BK12" s="5" t="n">
        <v>-10994.49965446667</v>
      </c>
      <c r="BL12" s="39" t="n">
        <v>-194009.27893665</v>
      </c>
    </row>
    <row r="13">
      <c r="A13" s="40" t="inlineStr">
        <is>
          <t>EBITDA</t>
        </is>
      </c>
      <c r="B13" s="41" t="n">
        <v>-2209.571805893333</v>
      </c>
      <c r="C13" s="41" t="n">
        <v>-1908.493680893333</v>
      </c>
      <c r="D13" s="41" t="n">
        <v>-1607.415555893333</v>
      </c>
      <c r="E13" s="41" t="n">
        <v>-1306.337430893333</v>
      </c>
      <c r="F13" s="41" t="n">
        <v>-1155.798368393333</v>
      </c>
      <c r="G13" s="41" t="n">
        <v>-1095.582743393333</v>
      </c>
      <c r="H13" s="41" t="n">
        <v>-1085.259305893333</v>
      </c>
      <c r="I13" s="41" t="n">
        <v>-1085.259305893333</v>
      </c>
      <c r="J13" s="41" t="n">
        <v>-994.9358683933328</v>
      </c>
      <c r="K13" s="41" t="n">
        <v>-934.7202433933335</v>
      </c>
      <c r="L13" s="41" t="n">
        <v>-874.5046183933327</v>
      </c>
      <c r="M13" s="41" t="n">
        <v>-784.1811808933335</v>
      </c>
      <c r="N13" s="41" t="n">
        <v>-944.1811808933335</v>
      </c>
      <c r="O13" s="41" t="n">
        <v>-1034.504618393333</v>
      </c>
      <c r="P13" s="41" t="n">
        <v>-883.9655558933332</v>
      </c>
      <c r="Q13" s="41" t="n">
        <v>-853.8577433933333</v>
      </c>
      <c r="R13" s="41" t="n">
        <v>-793.6421183933335</v>
      </c>
      <c r="S13" s="41" t="n">
        <v>-793.6421183933335</v>
      </c>
      <c r="T13" s="39" t="n">
        <v>-20345.85344358</v>
      </c>
      <c r="W13" s="40" t="inlineStr">
        <is>
          <t>EBITDA</t>
        </is>
      </c>
      <c r="X13" s="41" t="n">
        <v>-3608.71541768</v>
      </c>
      <c r="Y13" s="41" t="n">
        <v>-2705.48104268</v>
      </c>
      <c r="Z13" s="41" t="n">
        <v>-1802.24666768</v>
      </c>
      <c r="AA13" s="41" t="n">
        <v>-899.0122926799995</v>
      </c>
      <c r="AB13" s="41" t="n">
        <v>-447.3951051799995</v>
      </c>
      <c r="AC13" s="41" t="n">
        <v>-266.7482301800001</v>
      </c>
      <c r="AD13" s="41" t="n">
        <v>-75.77791767999952</v>
      </c>
      <c r="AE13" s="41" t="n">
        <v>-75.77791767999952</v>
      </c>
      <c r="AF13" s="42" t="n">
        <v>195.1923948200001</v>
      </c>
      <c r="AG13" s="42" t="n">
        <v>375.8392698200005</v>
      </c>
      <c r="AH13" s="42" t="n">
        <v>556.4861448199999</v>
      </c>
      <c r="AI13" s="42" t="n">
        <v>827.4564573200005</v>
      </c>
      <c r="AJ13" s="42" t="n">
        <v>667.4564573200005</v>
      </c>
      <c r="AK13" s="42" t="n">
        <v>396.4861448199999</v>
      </c>
      <c r="AL13" s="42" t="n">
        <v>848.1033323200008</v>
      </c>
      <c r="AM13" s="42" t="n">
        <v>938.426769820001</v>
      </c>
      <c r="AN13" s="42" t="n">
        <v>1119.07364482</v>
      </c>
      <c r="AO13" s="42" t="n">
        <v>1119.07364482</v>
      </c>
      <c r="AP13" s="39" t="n">
        <v>-2837.560330739992</v>
      </c>
      <c r="AS13" s="40" t="inlineStr">
        <is>
          <t>EBITDA</t>
        </is>
      </c>
      <c r="AT13" s="41" t="n">
        <v>-5007.859029466667</v>
      </c>
      <c r="AU13" s="41" t="n">
        <v>-3502.468404466666</v>
      </c>
      <c r="AV13" s="41" t="n">
        <v>-1997.077779466666</v>
      </c>
      <c r="AW13" s="41" t="n">
        <v>-491.6871544666665</v>
      </c>
      <c r="AX13" s="42" t="n">
        <v>261.0081580333317</v>
      </c>
      <c r="AY13" s="42" t="n">
        <v>562.0862830333335</v>
      </c>
      <c r="AZ13" s="42" t="n">
        <v>933.7034705333335</v>
      </c>
      <c r="BA13" s="42" t="n">
        <v>933.7034705333335</v>
      </c>
      <c r="BB13" s="42" t="n">
        <v>1385.320658033334</v>
      </c>
      <c r="BC13" s="42" t="n">
        <v>1686.398783033334</v>
      </c>
      <c r="BD13" s="42" t="n">
        <v>1987.476908033334</v>
      </c>
      <c r="BE13" s="42" t="n">
        <v>2439.094095533334</v>
      </c>
      <c r="BF13" s="42" t="n">
        <v>2279.094095533334</v>
      </c>
      <c r="BG13" s="42" t="n">
        <v>1827.476908033334</v>
      </c>
      <c r="BH13" s="42" t="n">
        <v>2580.172220533334</v>
      </c>
      <c r="BI13" s="42" t="n">
        <v>2730.711283033334</v>
      </c>
      <c r="BJ13" s="42" t="n">
        <v>3031.789408033334</v>
      </c>
      <c r="BK13" s="42" t="n">
        <v>3031.789408033334</v>
      </c>
      <c r="BL13" s="39" t="n">
        <v>14670.7327821</v>
      </c>
    </row>
    <row r="14">
      <c r="A14" s="36" t="inlineStr">
        <is>
          <t>Margen EBITDA (%)</t>
        </is>
      </c>
      <c r="B14" s="8" t="n">
        <v>-2.025395329790974</v>
      </c>
      <c r="C14" s="8" t="n">
        <v>-1.36065474794455</v>
      </c>
      <c r="D14" s="8" t="n">
        <v>-0.9376380140422802</v>
      </c>
      <c r="E14" s="8" t="n">
        <v>-0.6447802751868627</v>
      </c>
      <c r="F14" s="8" t="n">
        <v>-0.5297290206365201</v>
      </c>
      <c r="G14" s="8" t="n">
        <v>-0.4881827342711182</v>
      </c>
      <c r="H14" s="8" t="n">
        <v>-0.4642393869358488</v>
      </c>
      <c r="I14" s="8" t="n">
        <v>-0.4642393869358488</v>
      </c>
      <c r="J14" s="8" t="n">
        <v>-0.4092325917260876</v>
      </c>
      <c r="K14" s="8" t="n">
        <v>-0.3748533447199874</v>
      </c>
      <c r="L14" s="8" t="n">
        <v>-0.3421511341532085</v>
      </c>
      <c r="M14" s="8" t="n">
        <v>-0.2959833074706979</v>
      </c>
      <c r="N14" s="8" t="n">
        <v>-0.356374107899449</v>
      </c>
      <c r="O14" s="8" t="n">
        <v>-0.4047513541098409</v>
      </c>
      <c r="P14" s="8" t="n">
        <v>-0.3259761447634171</v>
      </c>
      <c r="Q14" s="8" t="n">
        <v>-0.3112953102943108</v>
      </c>
      <c r="R14" s="8" t="n">
        <v>-0.2829123636540388</v>
      </c>
      <c r="S14" s="8" t="n">
        <v>-0.2829123636540388</v>
      </c>
      <c r="T14" s="43" t="n">
        <v>-0.2829123636540388</v>
      </c>
      <c r="W14" s="36" t="inlineStr">
        <is>
          <t>Margen EBITDA (%)</t>
        </is>
      </c>
      <c r="X14" s="8" t="n">
        <v>-1.102638278001664</v>
      </c>
      <c r="Y14" s="8" t="n">
        <v>-0.6429548187750864</v>
      </c>
      <c r="Z14" s="8" t="n">
        <v>-0.3504289810854465</v>
      </c>
      <c r="AA14" s="8" t="n">
        <v>-0.1479110934541572</v>
      </c>
      <c r="AB14" s="8" t="n">
        <v>-0.068350494741865</v>
      </c>
      <c r="AC14" s="8" t="n">
        <v>-0.039620278540204</v>
      </c>
      <c r="AD14" s="8" t="n">
        <v>-0.01080512704997584</v>
      </c>
      <c r="AE14" s="8" t="n">
        <v>-0.01080512704997584</v>
      </c>
      <c r="AF14" s="8" t="n">
        <v>0.02676188893340525</v>
      </c>
      <c r="AG14" s="8" t="n">
        <v>0.0502412739230185</v>
      </c>
      <c r="AH14" s="8" t="n">
        <v>0.07257532305947978</v>
      </c>
      <c r="AI14" s="8" t="n">
        <v>0.1041057453697782</v>
      </c>
      <c r="AJ14" s="8" t="n">
        <v>0.08397547856019452</v>
      </c>
      <c r="AK14" s="8" t="n">
        <v>0.05170858307393571</v>
      </c>
      <c r="AL14" s="8" t="n">
        <v>0.1042504626971541</v>
      </c>
      <c r="AM14" s="8" t="n">
        <v>0.1140423584451175</v>
      </c>
      <c r="AN14" s="8" t="n">
        <v>0.13297335689118</v>
      </c>
      <c r="AO14" s="8" t="n">
        <v>0.13297335689118</v>
      </c>
      <c r="AP14" s="43" t="n">
        <v>0.13297335689118</v>
      </c>
      <c r="AS14" s="36" t="inlineStr">
        <is>
          <t>Margen EBITDA (%)</t>
        </is>
      </c>
      <c r="AT14" s="8" t="n">
        <v>-0.9180868676438021</v>
      </c>
      <c r="AU14" s="8" t="n">
        <v>-0.4994148329411939</v>
      </c>
      <c r="AV14" s="8" t="n">
        <v>-0.2329871744940798</v>
      </c>
      <c r="AW14" s="8" t="n">
        <v>-0.04853725710761619</v>
      </c>
      <c r="AX14" s="8" t="n">
        <v>0.02392521043706577</v>
      </c>
      <c r="AY14" s="8" t="n">
        <v>0.05009221260597893</v>
      </c>
      <c r="AZ14" s="8" t="n">
        <v>0.07988172492719867</v>
      </c>
      <c r="BA14" s="8" t="n">
        <v>0.07988172492719867</v>
      </c>
      <c r="BB14" s="8" t="n">
        <v>0.1139607850653039</v>
      </c>
      <c r="BC14" s="8" t="n">
        <v>0.1352601976516196</v>
      </c>
      <c r="BD14" s="8" t="n">
        <v>0.1555206145020175</v>
      </c>
      <c r="BE14" s="8" t="n">
        <v>0.1841235559378734</v>
      </c>
      <c r="BF14" s="8" t="n">
        <v>0.1720453958521231</v>
      </c>
      <c r="BG14" s="8" t="n">
        <v>0.1430005705106911</v>
      </c>
      <c r="BH14" s="8" t="n">
        <v>0.1902957841892682</v>
      </c>
      <c r="BI14" s="8" t="n">
        <v>0.1991098921930031</v>
      </c>
      <c r="BJ14" s="8" t="n">
        <v>0.2161505010002237</v>
      </c>
      <c r="BK14" s="8" t="n">
        <v>0.2161505010002237</v>
      </c>
      <c r="BL14" s="43" t="n">
        <v>0.2161505010002237</v>
      </c>
    </row>
    <row r="15">
      <c r="A15" s="36" t="inlineStr">
        <is>
          <t>Break-even mensual (h/mes)</t>
        </is>
      </c>
      <c r="B15" s="37" t="n">
        <v>152.4215433626032</v>
      </c>
      <c r="C15" s="37" t="n">
        <v>152.4215433626032</v>
      </c>
      <c r="D15" s="37" t="n">
        <v>152.4215433626032</v>
      </c>
      <c r="E15" s="37" t="n">
        <v>152.4215433626032</v>
      </c>
      <c r="F15" s="37" t="n">
        <v>152.4215433626032</v>
      </c>
      <c r="G15" s="37" t="n">
        <v>152.4215433626032</v>
      </c>
      <c r="H15" s="37" t="n">
        <v>156.1581150580726</v>
      </c>
      <c r="I15" s="37" t="n">
        <v>156.1581150580726</v>
      </c>
      <c r="J15" s="37" t="n">
        <v>156.1581150580726</v>
      </c>
      <c r="K15" s="37" t="n">
        <v>156.1581150580726</v>
      </c>
      <c r="L15" s="37" t="n">
        <v>156.1581150580726</v>
      </c>
      <c r="M15" s="37" t="n">
        <v>156.1581150580726</v>
      </c>
      <c r="N15" s="37" t="n">
        <v>163.6312584490114</v>
      </c>
      <c r="O15" s="37" t="n">
        <v>163.6312584490114</v>
      </c>
      <c r="P15" s="37" t="n">
        <v>163.6312584490114</v>
      </c>
      <c r="Q15" s="37" t="n">
        <v>163.6312584490114</v>
      </c>
      <c r="R15" s="37" t="n">
        <v>163.6312584490114</v>
      </c>
      <c r="S15" s="37" t="n">
        <v>163.6312584490114</v>
      </c>
      <c r="T15" s="38" t="n">
        <v>163.6312584490114</v>
      </c>
      <c r="W15" s="36" t="inlineStr">
        <is>
          <t>Break-even mensual (h/mes)</t>
        </is>
      </c>
      <c r="X15" s="37" t="n">
        <v>316.2090485838393</v>
      </c>
      <c r="Y15" s="37" t="n">
        <v>316.2090485838393</v>
      </c>
      <c r="Z15" s="37" t="n">
        <v>316.2090485838393</v>
      </c>
      <c r="AA15" s="37" t="n">
        <v>316.2090485838393</v>
      </c>
      <c r="AB15" s="37" t="n">
        <v>316.2090485838393</v>
      </c>
      <c r="AC15" s="37" t="n">
        <v>316.2090485838393</v>
      </c>
      <c r="AD15" s="37" t="n">
        <v>319.9456202793087</v>
      </c>
      <c r="AE15" s="37" t="n">
        <v>319.9456202793087</v>
      </c>
      <c r="AF15" s="37" t="n">
        <v>319.9456202793087</v>
      </c>
      <c r="AG15" s="37" t="n">
        <v>319.9456202793087</v>
      </c>
      <c r="AH15" s="37" t="n">
        <v>319.9456202793087</v>
      </c>
      <c r="AI15" s="37" t="n">
        <v>319.9456202793087</v>
      </c>
      <c r="AJ15" s="37" t="n">
        <v>327.4187636702475</v>
      </c>
      <c r="AK15" s="37" t="n">
        <v>327.4187636702475</v>
      </c>
      <c r="AL15" s="37" t="n">
        <v>327.4187636702475</v>
      </c>
      <c r="AM15" s="37" t="n">
        <v>327.4187636702475</v>
      </c>
      <c r="AN15" s="37" t="n">
        <v>327.4187636702475</v>
      </c>
      <c r="AO15" s="37" t="n">
        <v>327.4187636702475</v>
      </c>
      <c r="AP15" s="38" t="n">
        <v>327.4187636702475</v>
      </c>
      <c r="AS15" s="36" t="inlineStr">
        <is>
          <t>Break-even mensual (h/mes)</t>
        </is>
      </c>
      <c r="AT15" s="37" t="n">
        <v>479.9965538050755</v>
      </c>
      <c r="AU15" s="37" t="n">
        <v>479.9965538050755</v>
      </c>
      <c r="AV15" s="37" t="n">
        <v>479.9965538050755</v>
      </c>
      <c r="AW15" s="37" t="n">
        <v>479.9965538050755</v>
      </c>
      <c r="AX15" s="37" t="n">
        <v>479.9965538050755</v>
      </c>
      <c r="AY15" s="37" t="n">
        <v>479.9965538050755</v>
      </c>
      <c r="AZ15" s="37" t="n">
        <v>483.7331255005449</v>
      </c>
      <c r="BA15" s="37" t="n">
        <v>483.7331255005449</v>
      </c>
      <c r="BB15" s="37" t="n">
        <v>483.7331255005449</v>
      </c>
      <c r="BC15" s="37" t="n">
        <v>483.7331255005449</v>
      </c>
      <c r="BD15" s="37" t="n">
        <v>483.7331255005449</v>
      </c>
      <c r="BE15" s="37" t="n">
        <v>483.7331255005449</v>
      </c>
      <c r="BF15" s="37" t="n">
        <v>491.2062688914837</v>
      </c>
      <c r="BG15" s="37" t="n">
        <v>491.2062688914837</v>
      </c>
      <c r="BH15" s="37" t="n">
        <v>491.2062688914837</v>
      </c>
      <c r="BI15" s="37" t="n">
        <v>491.2062688914837</v>
      </c>
      <c r="BJ15" s="37" t="n">
        <v>491.2062688914837</v>
      </c>
      <c r="BK15" s="37" t="n">
        <v>491.2062688914837</v>
      </c>
      <c r="BL15" s="38" t="n">
        <v>491.2062688914837</v>
      </c>
    </row>
  </sheetData>
  <mergeCells count="3">
    <mergeCell ref="A1:T1"/>
    <mergeCell ref="AS1:BL1"/>
    <mergeCell ref="W1:AP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U36"/>
  <sheetViews>
    <sheetView showGridLines="0" workbookViewId="0">
      <selection activeCell="A1" sqref="A1"/>
    </sheetView>
  </sheetViews>
  <sheetFormatPr baseColWidth="8" defaultRowHeight="15"/>
  <cols>
    <col width="35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2" ht="28" customHeight="1">
      <c r="A2" s="1" t="inlineStr">
        <is>
          <t>ESCENARIO A – ESTRUCTURA COMPLETA (oficina + vehículo leasing)</t>
        </is>
      </c>
    </row>
    <row r="3">
      <c r="A3" s="9" t="inlineStr">
        <is>
          <t>INVERSIÓN INICIAL (setup)</t>
        </is>
      </c>
      <c r="B3" s="44" t="n">
        <v>-2800</v>
      </c>
      <c r="C3" s="45" t="inlineStr"/>
      <c r="D3" s="45" t="inlineStr"/>
      <c r="E3" s="45" t="inlineStr"/>
      <c r="F3" s="45" t="inlineStr"/>
      <c r="G3" s="45" t="inlineStr"/>
      <c r="H3" s="45" t="inlineStr"/>
      <c r="I3" s="45" t="inlineStr"/>
      <c r="J3" s="45" t="inlineStr"/>
      <c r="K3" s="45" t="inlineStr"/>
      <c r="L3" s="45" t="inlineStr"/>
      <c r="M3" s="45" t="inlineStr"/>
      <c r="N3" s="45" t="inlineStr"/>
      <c r="O3" s="45" t="inlineStr"/>
      <c r="P3" s="45" t="inlineStr"/>
      <c r="Q3" s="45" t="inlineStr"/>
      <c r="R3" s="45" t="inlineStr"/>
      <c r="S3" s="45" t="inlineStr"/>
      <c r="T3" s="45" t="inlineStr"/>
      <c r="U3" s="45" t="inlineStr"/>
    </row>
    <row r="4">
      <c r="A4" s="46" t="inlineStr">
        <is>
          <t>Concepto</t>
        </is>
      </c>
      <c r="B4" s="33" t="inlineStr">
        <is>
          <t>Jul'26</t>
        </is>
      </c>
      <c r="C4" s="33" t="inlineStr">
        <is>
          <t>Ago'26</t>
        </is>
      </c>
      <c r="D4" s="33" t="inlineStr">
        <is>
          <t>Sep'26</t>
        </is>
      </c>
      <c r="E4" s="33" t="inlineStr">
        <is>
          <t>Oct'26</t>
        </is>
      </c>
      <c r="F4" s="33" t="inlineStr">
        <is>
          <t>Nov'26</t>
        </is>
      </c>
      <c r="G4" s="33" t="inlineStr">
        <is>
          <t>Dic'26</t>
        </is>
      </c>
      <c r="H4" s="33" t="inlineStr">
        <is>
          <t>Ene'27</t>
        </is>
      </c>
      <c r="I4" s="33" t="inlineStr">
        <is>
          <t>Feb'27</t>
        </is>
      </c>
      <c r="J4" s="33" t="inlineStr">
        <is>
          <t>Mar'27</t>
        </is>
      </c>
      <c r="K4" s="33" t="inlineStr">
        <is>
          <t>Abr'27</t>
        </is>
      </c>
      <c r="L4" s="33" t="inlineStr">
        <is>
          <t>May'27</t>
        </is>
      </c>
      <c r="M4" s="33" t="inlineStr">
        <is>
          <t>Jun'27</t>
        </is>
      </c>
      <c r="N4" s="33" t="inlineStr">
        <is>
          <t>Jul'27</t>
        </is>
      </c>
      <c r="O4" s="33" t="inlineStr">
        <is>
          <t>Ago'27</t>
        </is>
      </c>
      <c r="P4" s="33" t="inlineStr">
        <is>
          <t>Sep'27</t>
        </is>
      </c>
      <c r="Q4" s="33" t="inlineStr">
        <is>
          <t>Oct'27</t>
        </is>
      </c>
      <c r="R4" s="33" t="inlineStr">
        <is>
          <t>Nov'27</t>
        </is>
      </c>
      <c r="S4" s="33" t="inlineStr">
        <is>
          <t>Dic'27</t>
        </is>
      </c>
      <c r="U4" s="47" t="inlineStr">
        <is>
          <t>TOTAL</t>
        </is>
      </c>
    </row>
    <row r="5">
      <c r="A5" s="36" t="inlineStr">
        <is>
          <t>Nº empleados activos</t>
        </is>
      </c>
      <c r="B5" s="48" t="n">
        <v>0</v>
      </c>
      <c r="C5" s="48" t="n">
        <v>0</v>
      </c>
      <c r="D5" s="48" t="n">
        <v>1</v>
      </c>
      <c r="E5" s="48" t="n">
        <v>1</v>
      </c>
      <c r="F5" s="48" t="n">
        <v>1</v>
      </c>
      <c r="G5" s="48" t="n">
        <v>1</v>
      </c>
      <c r="H5" s="48" t="n">
        <v>2</v>
      </c>
      <c r="I5" s="48" t="n">
        <v>2</v>
      </c>
      <c r="J5" s="48" t="n">
        <v>2</v>
      </c>
      <c r="K5" s="48" t="n">
        <v>2</v>
      </c>
      <c r="L5" s="48" t="n">
        <v>2</v>
      </c>
      <c r="M5" s="48" t="n">
        <v>3</v>
      </c>
      <c r="N5" s="48" t="n">
        <v>3</v>
      </c>
      <c r="O5" s="48" t="n">
        <v>3</v>
      </c>
      <c r="P5" s="48" t="n">
        <v>3</v>
      </c>
      <c r="Q5" s="48" t="n">
        <v>3</v>
      </c>
      <c r="R5" s="48" t="n">
        <v>3</v>
      </c>
      <c r="S5" s="48" t="n">
        <v>3</v>
      </c>
      <c r="U5" s="49" t="n">
        <v>3</v>
      </c>
    </row>
    <row r="6">
      <c r="A6" s="36" t="inlineStr">
        <is>
          <t>Horas facturadas/mes</t>
        </is>
      </c>
      <c r="B6" s="37" t="n">
        <v>0</v>
      </c>
      <c r="C6" s="37" t="n">
        <v>0</v>
      </c>
      <c r="D6" s="37" t="n">
        <v>60.46875</v>
      </c>
      <c r="E6" s="37" t="n">
        <v>90</v>
      </c>
      <c r="F6" s="37" t="n">
        <v>109.6875</v>
      </c>
      <c r="G6" s="37" t="n">
        <v>125.15625</v>
      </c>
      <c r="H6" s="37" t="n">
        <v>168.75</v>
      </c>
      <c r="I6" s="37" t="n">
        <v>210.9375</v>
      </c>
      <c r="J6" s="37" t="n">
        <v>230.625</v>
      </c>
      <c r="K6" s="37" t="n">
        <v>247.5</v>
      </c>
      <c r="L6" s="37" t="n">
        <v>258.75</v>
      </c>
      <c r="M6" s="37" t="n">
        <v>286.875</v>
      </c>
      <c r="N6" s="37" t="n">
        <v>316.40625</v>
      </c>
      <c r="O6" s="37" t="n">
        <v>337.5</v>
      </c>
      <c r="P6" s="37" t="n">
        <v>358.59375</v>
      </c>
      <c r="Q6" s="37" t="n">
        <v>371.25</v>
      </c>
      <c r="R6" s="37" t="n">
        <v>379.6875</v>
      </c>
      <c r="S6" s="37" t="n">
        <v>379.6875</v>
      </c>
      <c r="U6" s="38" t="n">
        <v>379.6875</v>
      </c>
    </row>
    <row r="7">
      <c r="A7" s="36" t="inlineStr">
        <is>
          <t>Ingresos (22,03 B2B / 22,22 B2C)</t>
        </is>
      </c>
      <c r="B7" s="5" t="n">
        <v>0</v>
      </c>
      <c r="C7" s="5" t="n">
        <v>0</v>
      </c>
      <c r="D7" s="5" t="n">
        <v>1340.28984375</v>
      </c>
      <c r="E7" s="5" t="n">
        <v>1994.85</v>
      </c>
      <c r="F7" s="5" t="n">
        <v>2431.2234375</v>
      </c>
      <c r="G7" s="5" t="n">
        <v>2774.08828125</v>
      </c>
      <c r="H7" s="5" t="n">
        <v>3740.34375</v>
      </c>
      <c r="I7" s="5" t="n">
        <v>4675.4296875</v>
      </c>
      <c r="J7" s="5" t="n">
        <v>5111.803124999999</v>
      </c>
      <c r="K7" s="5" t="n">
        <v>5485.8375</v>
      </c>
      <c r="L7" s="5" t="n">
        <v>5735.193749999999</v>
      </c>
      <c r="M7" s="5" t="n">
        <v>6358.584374999999</v>
      </c>
      <c r="N7" s="5" t="n">
        <v>7013.14453125</v>
      </c>
      <c r="O7" s="5" t="n">
        <v>7480.6875</v>
      </c>
      <c r="P7" s="5" t="n">
        <v>7948.23046875</v>
      </c>
      <c r="Q7" s="5" t="n">
        <v>8228.75625</v>
      </c>
      <c r="R7" s="5" t="n">
        <v>8415.7734375</v>
      </c>
      <c r="S7" s="5" t="n">
        <v>8415.7734375</v>
      </c>
      <c r="U7" s="39" t="n">
        <v>87150.00937499999</v>
      </c>
    </row>
    <row r="8">
      <c r="A8" s="36" t="inlineStr">
        <is>
          <t>— Costes laborales empl.</t>
        </is>
      </c>
      <c r="B8" s="5" t="n">
        <v>-0</v>
      </c>
      <c r="C8" s="5" t="n">
        <v>-0</v>
      </c>
      <c r="D8" s="5" t="n">
        <v>-1753.345243393333</v>
      </c>
      <c r="E8" s="5" t="n">
        <v>-1753.345243393333</v>
      </c>
      <c r="F8" s="5" t="n">
        <v>-1753.345243393333</v>
      </c>
      <c r="G8" s="5" t="n">
        <v>-1753.345243393333</v>
      </c>
      <c r="H8" s="5" t="n">
        <v>-3506.690486786666</v>
      </c>
      <c r="I8" s="5" t="n">
        <v>-3506.690486786666</v>
      </c>
      <c r="J8" s="5" t="n">
        <v>-3506.690486786666</v>
      </c>
      <c r="K8" s="5" t="n">
        <v>-3506.690486786666</v>
      </c>
      <c r="L8" s="5" t="n">
        <v>-3506.690486786666</v>
      </c>
      <c r="M8" s="5" t="n">
        <v>-5260.03573018</v>
      </c>
      <c r="N8" s="5" t="n">
        <v>-5260.03573018</v>
      </c>
      <c r="O8" s="5" t="n">
        <v>-5260.03573018</v>
      </c>
      <c r="P8" s="5" t="n">
        <v>-5260.03573018</v>
      </c>
      <c r="Q8" s="5" t="n">
        <v>-5260.03573018</v>
      </c>
      <c r="R8" s="5" t="n">
        <v>-5260.03573018</v>
      </c>
      <c r="S8" s="5" t="n">
        <v>-5260.03573018</v>
      </c>
      <c r="U8" s="39" t="n">
        <v>-61367.08351876664</v>
      </c>
    </row>
    <row r="9">
      <c r="A9" s="36" t="inlineStr">
        <is>
          <t>— Cuota autónomo titular</t>
        </is>
      </c>
      <c r="B9" s="5" t="n">
        <v>-80</v>
      </c>
      <c r="C9" s="5" t="n">
        <v>-80</v>
      </c>
      <c r="D9" s="5" t="n">
        <v>-80</v>
      </c>
      <c r="E9" s="5" t="n">
        <v>-80</v>
      </c>
      <c r="F9" s="5" t="n">
        <v>-80</v>
      </c>
      <c r="G9" s="5" t="n">
        <v>-80</v>
      </c>
      <c r="H9" s="5" t="n">
        <v>-160</v>
      </c>
      <c r="I9" s="5" t="n">
        <v>-160</v>
      </c>
      <c r="J9" s="5" t="n">
        <v>-160</v>
      </c>
      <c r="K9" s="5" t="n">
        <v>-160</v>
      </c>
      <c r="L9" s="5" t="n">
        <v>-160</v>
      </c>
      <c r="M9" s="5" t="n">
        <v>-160</v>
      </c>
      <c r="N9" s="5" t="n">
        <v>-320</v>
      </c>
      <c r="O9" s="5" t="n">
        <v>-320</v>
      </c>
      <c r="P9" s="5" t="n">
        <v>-320</v>
      </c>
      <c r="Q9" s="5" t="n">
        <v>-320</v>
      </c>
      <c r="R9" s="5" t="n">
        <v>-320</v>
      </c>
      <c r="S9" s="5" t="n">
        <v>-320</v>
      </c>
      <c r="U9" s="39" t="n">
        <v>-3360</v>
      </c>
    </row>
    <row r="10">
      <c r="A10" s="36" t="inlineStr">
        <is>
          <t>— Materiales y transporte</t>
        </is>
      </c>
      <c r="B10" s="5" t="n">
        <v>-0</v>
      </c>
      <c r="C10" s="5" t="n">
        <v>-0</v>
      </c>
      <c r="D10" s="5" t="n">
        <v>-45.65390624999999</v>
      </c>
      <c r="E10" s="5" t="n">
        <v>-67.94999999999999</v>
      </c>
      <c r="F10" s="5" t="n">
        <v>-82.81406249999999</v>
      </c>
      <c r="G10" s="5" t="n">
        <v>-94.49296874999999</v>
      </c>
      <c r="H10" s="5" t="n">
        <v>-127.40625</v>
      </c>
      <c r="I10" s="5" t="n">
        <v>-159.2578125</v>
      </c>
      <c r="J10" s="5" t="n">
        <v>-174.121875</v>
      </c>
      <c r="K10" s="5" t="n">
        <v>-186.8625</v>
      </c>
      <c r="L10" s="5" t="n">
        <v>-195.35625</v>
      </c>
      <c r="M10" s="5" t="n">
        <v>-216.590625</v>
      </c>
      <c r="N10" s="5" t="n">
        <v>-238.88671875</v>
      </c>
      <c r="O10" s="5" t="n">
        <v>-254.8125</v>
      </c>
      <c r="P10" s="5" t="n">
        <v>-270.7382812499999</v>
      </c>
      <c r="Q10" s="5" t="n">
        <v>-280.29375</v>
      </c>
      <c r="R10" s="5" t="n">
        <v>-286.6640624999999</v>
      </c>
      <c r="S10" s="5" t="n">
        <v>-286.6640624999999</v>
      </c>
      <c r="U10" s="39" t="n">
        <v>-2968.565625</v>
      </c>
    </row>
    <row r="11">
      <c r="A11" s="36" t="inlineStr">
        <is>
          <t>— Estructura (1430 €/mes)</t>
        </is>
      </c>
      <c r="B11" s="5" t="n">
        <v>-1430</v>
      </c>
      <c r="C11" s="5" t="n">
        <v>-1430</v>
      </c>
      <c r="D11" s="5" t="n">
        <v>-1430</v>
      </c>
      <c r="E11" s="5" t="n">
        <v>-1430</v>
      </c>
      <c r="F11" s="5" t="n">
        <v>-1430</v>
      </c>
      <c r="G11" s="5" t="n">
        <v>-1430</v>
      </c>
      <c r="H11" s="5" t="n">
        <v>-1430</v>
      </c>
      <c r="I11" s="5" t="n">
        <v>-1430</v>
      </c>
      <c r="J11" s="5" t="n">
        <v>-1430</v>
      </c>
      <c r="K11" s="5" t="n">
        <v>-1430</v>
      </c>
      <c r="L11" s="5" t="n">
        <v>-1430</v>
      </c>
      <c r="M11" s="5" t="n">
        <v>-1430</v>
      </c>
      <c r="N11" s="5" t="n">
        <v>-1430</v>
      </c>
      <c r="O11" s="5" t="n">
        <v>-1430</v>
      </c>
      <c r="P11" s="5" t="n">
        <v>-1430</v>
      </c>
      <c r="Q11" s="5" t="n">
        <v>-1430</v>
      </c>
      <c r="R11" s="5" t="n">
        <v>-1430</v>
      </c>
      <c r="S11" s="5" t="n">
        <v>-1430</v>
      </c>
      <c r="U11" s="39" t="n">
        <v>-25740</v>
      </c>
    </row>
    <row r="12">
      <c r="A12" s="40" t="inlineStr">
        <is>
          <t>EBITDA MENSUAL</t>
        </is>
      </c>
      <c r="B12" s="41" t="n">
        <v>-1510</v>
      </c>
      <c r="C12" s="41" t="n">
        <v>-1510</v>
      </c>
      <c r="D12" s="41" t="n">
        <v>-1968.709305893333</v>
      </c>
      <c r="E12" s="41" t="n">
        <v>-1336.445243393333</v>
      </c>
      <c r="F12" s="41" t="n">
        <v>-914.9358683933334</v>
      </c>
      <c r="G12" s="41" t="n">
        <v>-583.7499308933334</v>
      </c>
      <c r="H12" s="41" t="n">
        <v>-1483.752986786666</v>
      </c>
      <c r="I12" s="41" t="n">
        <v>-580.5186117866665</v>
      </c>
      <c r="J12" s="41" t="n">
        <v>-159.0092367866671</v>
      </c>
      <c r="K12" s="42" t="n">
        <v>202.2845132133332</v>
      </c>
      <c r="L12" s="42" t="n">
        <v>443.1470132133329</v>
      </c>
      <c r="M12" s="41" t="n">
        <v>-708.04198018</v>
      </c>
      <c r="N12" s="41" t="n">
        <v>-235.7779176799995</v>
      </c>
      <c r="O12" s="42" t="n">
        <v>215.8392698200005</v>
      </c>
      <c r="P12" s="42" t="n">
        <v>667.4564573200005</v>
      </c>
      <c r="Q12" s="42" t="n">
        <v>938.426769820001</v>
      </c>
      <c r="R12" s="42" t="n">
        <v>1119.07364482</v>
      </c>
      <c r="S12" s="42" t="n">
        <v>1119.07364482</v>
      </c>
      <c r="U12" s="39" t="n">
        <v>-6285.639768766665</v>
      </c>
    </row>
    <row r="13">
      <c r="A13" s="40" t="inlineStr">
        <is>
          <t>FLUJO ACUMULADO</t>
        </is>
      </c>
      <c r="B13" s="50" t="n">
        <v>-4310</v>
      </c>
      <c r="C13" s="50" t="n">
        <v>-5820</v>
      </c>
      <c r="D13" s="50" t="n">
        <v>-7788.709305893333</v>
      </c>
      <c r="E13" s="50" t="n">
        <v>-9125.154549286666</v>
      </c>
      <c r="F13" s="50" t="n">
        <v>-10040.09041768</v>
      </c>
      <c r="G13" s="50" t="n">
        <v>-10623.84034857333</v>
      </c>
      <c r="H13" s="50" t="n">
        <v>-12107.59333536</v>
      </c>
      <c r="I13" s="50" t="n">
        <v>-12688.11194714667</v>
      </c>
      <c r="J13" s="50" t="n">
        <v>-12847.12118393333</v>
      </c>
      <c r="K13" s="50" t="n">
        <v>-12644.83667072</v>
      </c>
      <c r="L13" s="50" t="n">
        <v>-12201.68965750667</v>
      </c>
      <c r="M13" s="50" t="n">
        <v>-12909.73163768667</v>
      </c>
      <c r="N13" s="50" t="n">
        <v>-13145.50955536667</v>
      </c>
      <c r="O13" s="50" t="n">
        <v>-12929.67028554667</v>
      </c>
      <c r="P13" s="50" t="n">
        <v>-12262.21382822667</v>
      </c>
      <c r="Q13" s="50" t="n">
        <v>-11323.78705840667</v>
      </c>
      <c r="R13" s="50" t="n">
        <v>-10204.71341358667</v>
      </c>
      <c r="S13" s="50" t="n">
        <v>-9085.639768766665</v>
      </c>
      <c r="U13" s="39" t="n">
        <v>-9085.639768766665</v>
      </c>
    </row>
    <row r="14">
      <c r="A14" s="2" t="inlineStr">
        <is>
          <t xml:space="preserve">  ✅ Capital necesario: 13146 € mín. | Rec. con +25%: 16432 €  | 1er mes positivo: M10  | BEP acumulado: &gt;M18</t>
        </is>
      </c>
    </row>
    <row r="24" ht="28" customHeight="1">
      <c r="A24" s="31" t="inlineStr">
        <is>
          <t>ESCENARIO B – LEAN: home office + coche propio  ★ RECOMENDADO</t>
        </is>
      </c>
    </row>
    <row r="25">
      <c r="A25" s="9" t="inlineStr">
        <is>
          <t>INVERSIÓN INICIAL (setup)</t>
        </is>
      </c>
      <c r="B25" s="7" t="n">
        <v>-800</v>
      </c>
      <c r="C25" s="45" t="inlineStr"/>
      <c r="D25" s="45" t="inlineStr"/>
      <c r="E25" s="45" t="inlineStr"/>
      <c r="F25" s="45" t="inlineStr"/>
      <c r="G25" s="45" t="inlineStr"/>
      <c r="H25" s="45" t="inlineStr"/>
      <c r="I25" s="45" t="inlineStr"/>
      <c r="J25" s="45" t="inlineStr"/>
      <c r="K25" s="45" t="inlineStr"/>
      <c r="L25" s="45" t="inlineStr"/>
      <c r="M25" s="45" t="inlineStr"/>
      <c r="N25" s="45" t="inlineStr"/>
      <c r="O25" s="45" t="inlineStr"/>
      <c r="P25" s="45" t="inlineStr"/>
      <c r="Q25" s="45" t="inlineStr"/>
      <c r="R25" s="45" t="inlineStr"/>
      <c r="S25" s="45" t="inlineStr"/>
      <c r="T25" s="45" t="inlineStr"/>
      <c r="U25" s="45" t="inlineStr"/>
    </row>
    <row r="26">
      <c r="A26" s="51" t="inlineStr">
        <is>
          <t>Concepto</t>
        </is>
      </c>
      <c r="B26" s="33" t="inlineStr">
        <is>
          <t>Jul'26</t>
        </is>
      </c>
      <c r="C26" s="33" t="inlineStr">
        <is>
          <t>Ago'26</t>
        </is>
      </c>
      <c r="D26" s="33" t="inlineStr">
        <is>
          <t>Sep'26</t>
        </is>
      </c>
      <c r="E26" s="33" t="inlineStr">
        <is>
          <t>Oct'26</t>
        </is>
      </c>
      <c r="F26" s="33" t="inlineStr">
        <is>
          <t>Nov'26</t>
        </is>
      </c>
      <c r="G26" s="33" t="inlineStr">
        <is>
          <t>Dic'26</t>
        </is>
      </c>
      <c r="H26" s="33" t="inlineStr">
        <is>
          <t>Ene'27</t>
        </is>
      </c>
      <c r="I26" s="33" t="inlineStr">
        <is>
          <t>Feb'27</t>
        </is>
      </c>
      <c r="J26" s="33" t="inlineStr">
        <is>
          <t>Mar'27</t>
        </is>
      </c>
      <c r="K26" s="33" t="inlineStr">
        <is>
          <t>Abr'27</t>
        </is>
      </c>
      <c r="L26" s="33" t="inlineStr">
        <is>
          <t>May'27</t>
        </is>
      </c>
      <c r="M26" s="33" t="inlineStr">
        <is>
          <t>Jun'27</t>
        </is>
      </c>
      <c r="N26" s="33" t="inlineStr">
        <is>
          <t>Jul'27</t>
        </is>
      </c>
      <c r="O26" s="33" t="inlineStr">
        <is>
          <t>Ago'27</t>
        </is>
      </c>
      <c r="P26" s="33" t="inlineStr">
        <is>
          <t>Sep'27</t>
        </is>
      </c>
      <c r="Q26" s="33" t="inlineStr">
        <is>
          <t>Oct'27</t>
        </is>
      </c>
      <c r="R26" s="33" t="inlineStr">
        <is>
          <t>Nov'27</t>
        </is>
      </c>
      <c r="S26" s="33" t="inlineStr">
        <is>
          <t>Dic'27</t>
        </is>
      </c>
      <c r="U26" s="47" t="inlineStr">
        <is>
          <t>TOTAL</t>
        </is>
      </c>
    </row>
    <row r="27">
      <c r="A27" s="36" t="inlineStr">
        <is>
          <t>Nº empleados activos</t>
        </is>
      </c>
      <c r="B27" s="48" t="n">
        <v>0</v>
      </c>
      <c r="C27" s="48" t="n">
        <v>0</v>
      </c>
      <c r="D27" s="48" t="n">
        <v>1</v>
      </c>
      <c r="E27" s="48" t="n">
        <v>1</v>
      </c>
      <c r="F27" s="48" t="n">
        <v>1</v>
      </c>
      <c r="G27" s="48" t="n">
        <v>1</v>
      </c>
      <c r="H27" s="48" t="n">
        <v>2</v>
      </c>
      <c r="I27" s="48" t="n">
        <v>2</v>
      </c>
      <c r="J27" s="48" t="n">
        <v>2</v>
      </c>
      <c r="K27" s="48" t="n">
        <v>2</v>
      </c>
      <c r="L27" s="48" t="n">
        <v>2</v>
      </c>
      <c r="M27" s="48" t="n">
        <v>3</v>
      </c>
      <c r="N27" s="48" t="n">
        <v>3</v>
      </c>
      <c r="O27" s="48" t="n">
        <v>3</v>
      </c>
      <c r="P27" s="48" t="n">
        <v>3</v>
      </c>
      <c r="Q27" s="48" t="n">
        <v>3</v>
      </c>
      <c r="R27" s="48" t="n">
        <v>3</v>
      </c>
      <c r="S27" s="48" t="n">
        <v>3</v>
      </c>
      <c r="U27" s="49" t="n">
        <v>3</v>
      </c>
    </row>
    <row r="28">
      <c r="A28" s="36" t="inlineStr">
        <is>
          <t>Horas facturadas/mes</t>
        </is>
      </c>
      <c r="B28" s="37" t="n">
        <v>0</v>
      </c>
      <c r="C28" s="37" t="n">
        <v>0</v>
      </c>
      <c r="D28" s="37" t="n">
        <v>60.46875</v>
      </c>
      <c r="E28" s="37" t="n">
        <v>90</v>
      </c>
      <c r="F28" s="37" t="n">
        <v>109.6875</v>
      </c>
      <c r="G28" s="37" t="n">
        <v>125.15625</v>
      </c>
      <c r="H28" s="37" t="n">
        <v>168.75</v>
      </c>
      <c r="I28" s="37" t="n">
        <v>210.9375</v>
      </c>
      <c r="J28" s="37" t="n">
        <v>230.625</v>
      </c>
      <c r="K28" s="37" t="n">
        <v>247.5</v>
      </c>
      <c r="L28" s="37" t="n">
        <v>258.75</v>
      </c>
      <c r="M28" s="37" t="n">
        <v>286.875</v>
      </c>
      <c r="N28" s="37" t="n">
        <v>316.40625</v>
      </c>
      <c r="O28" s="37" t="n">
        <v>337.5</v>
      </c>
      <c r="P28" s="37" t="n">
        <v>358.59375</v>
      </c>
      <c r="Q28" s="37" t="n">
        <v>371.25</v>
      </c>
      <c r="R28" s="37" t="n">
        <v>379.6875</v>
      </c>
      <c r="S28" s="37" t="n">
        <v>379.6875</v>
      </c>
      <c r="U28" s="38" t="n">
        <v>379.6875</v>
      </c>
    </row>
    <row r="29">
      <c r="A29" s="36" t="inlineStr">
        <is>
          <t>Ingresos (22,03 B2B / 22,22 B2C)</t>
        </is>
      </c>
      <c r="B29" s="5" t="n">
        <v>0</v>
      </c>
      <c r="C29" s="5" t="n">
        <v>0</v>
      </c>
      <c r="D29" s="5" t="n">
        <v>1340.28984375</v>
      </c>
      <c r="E29" s="5" t="n">
        <v>1994.85</v>
      </c>
      <c r="F29" s="5" t="n">
        <v>2431.2234375</v>
      </c>
      <c r="G29" s="5" t="n">
        <v>2774.08828125</v>
      </c>
      <c r="H29" s="5" t="n">
        <v>3740.34375</v>
      </c>
      <c r="I29" s="5" t="n">
        <v>4675.4296875</v>
      </c>
      <c r="J29" s="5" t="n">
        <v>5111.803124999999</v>
      </c>
      <c r="K29" s="5" t="n">
        <v>5485.8375</v>
      </c>
      <c r="L29" s="5" t="n">
        <v>5735.193749999999</v>
      </c>
      <c r="M29" s="5" t="n">
        <v>6358.584374999999</v>
      </c>
      <c r="N29" s="5" t="n">
        <v>7013.14453125</v>
      </c>
      <c r="O29" s="5" t="n">
        <v>7480.6875</v>
      </c>
      <c r="P29" s="5" t="n">
        <v>7948.23046875</v>
      </c>
      <c r="Q29" s="5" t="n">
        <v>8228.75625</v>
      </c>
      <c r="R29" s="5" t="n">
        <v>8415.7734375</v>
      </c>
      <c r="S29" s="5" t="n">
        <v>8415.7734375</v>
      </c>
      <c r="U29" s="39" t="n">
        <v>87150.00937499999</v>
      </c>
    </row>
    <row r="30">
      <c r="A30" s="36" t="inlineStr">
        <is>
          <t>— Costes laborales empl.</t>
        </is>
      </c>
      <c r="B30" s="5" t="n">
        <v>-0</v>
      </c>
      <c r="C30" s="5" t="n">
        <v>-0</v>
      </c>
      <c r="D30" s="5" t="n">
        <v>-1753.345243393333</v>
      </c>
      <c r="E30" s="5" t="n">
        <v>-1753.345243393333</v>
      </c>
      <c r="F30" s="5" t="n">
        <v>-1753.345243393333</v>
      </c>
      <c r="G30" s="5" t="n">
        <v>-1753.345243393333</v>
      </c>
      <c r="H30" s="5" t="n">
        <v>-3506.690486786666</v>
      </c>
      <c r="I30" s="5" t="n">
        <v>-3506.690486786666</v>
      </c>
      <c r="J30" s="5" t="n">
        <v>-3506.690486786666</v>
      </c>
      <c r="K30" s="5" t="n">
        <v>-3506.690486786666</v>
      </c>
      <c r="L30" s="5" t="n">
        <v>-3506.690486786666</v>
      </c>
      <c r="M30" s="5" t="n">
        <v>-5260.03573018</v>
      </c>
      <c r="N30" s="5" t="n">
        <v>-5260.03573018</v>
      </c>
      <c r="O30" s="5" t="n">
        <v>-5260.03573018</v>
      </c>
      <c r="P30" s="5" t="n">
        <v>-5260.03573018</v>
      </c>
      <c r="Q30" s="5" t="n">
        <v>-5260.03573018</v>
      </c>
      <c r="R30" s="5" t="n">
        <v>-5260.03573018</v>
      </c>
      <c r="S30" s="5" t="n">
        <v>-5260.03573018</v>
      </c>
      <c r="U30" s="39" t="n">
        <v>-61367.08351876664</v>
      </c>
    </row>
    <row r="31">
      <c r="A31" s="36" t="inlineStr">
        <is>
          <t>— Cuota autónomo titular</t>
        </is>
      </c>
      <c r="B31" s="5" t="n">
        <v>-80</v>
      </c>
      <c r="C31" s="5" t="n">
        <v>-80</v>
      </c>
      <c r="D31" s="5" t="n">
        <v>-80</v>
      </c>
      <c r="E31" s="5" t="n">
        <v>-80</v>
      </c>
      <c r="F31" s="5" t="n">
        <v>-80</v>
      </c>
      <c r="G31" s="5" t="n">
        <v>-80</v>
      </c>
      <c r="H31" s="5" t="n">
        <v>-160</v>
      </c>
      <c r="I31" s="5" t="n">
        <v>-160</v>
      </c>
      <c r="J31" s="5" t="n">
        <v>-160</v>
      </c>
      <c r="K31" s="5" t="n">
        <v>-160</v>
      </c>
      <c r="L31" s="5" t="n">
        <v>-160</v>
      </c>
      <c r="M31" s="5" t="n">
        <v>-160</v>
      </c>
      <c r="N31" s="5" t="n">
        <v>-320</v>
      </c>
      <c r="O31" s="5" t="n">
        <v>-320</v>
      </c>
      <c r="P31" s="5" t="n">
        <v>-320</v>
      </c>
      <c r="Q31" s="5" t="n">
        <v>-320</v>
      </c>
      <c r="R31" s="5" t="n">
        <v>-320</v>
      </c>
      <c r="S31" s="5" t="n">
        <v>-320</v>
      </c>
      <c r="U31" s="39" t="n">
        <v>-3360</v>
      </c>
    </row>
    <row r="32">
      <c r="A32" s="36" t="inlineStr">
        <is>
          <t>— Materiales y transporte</t>
        </is>
      </c>
      <c r="B32" s="5" t="n">
        <v>-0</v>
      </c>
      <c r="C32" s="5" t="n">
        <v>-0</v>
      </c>
      <c r="D32" s="5" t="n">
        <v>-45.65390624999999</v>
      </c>
      <c r="E32" s="5" t="n">
        <v>-67.94999999999999</v>
      </c>
      <c r="F32" s="5" t="n">
        <v>-82.81406249999999</v>
      </c>
      <c r="G32" s="5" t="n">
        <v>-94.49296874999999</v>
      </c>
      <c r="H32" s="5" t="n">
        <v>-127.40625</v>
      </c>
      <c r="I32" s="5" t="n">
        <v>-159.2578125</v>
      </c>
      <c r="J32" s="5" t="n">
        <v>-174.121875</v>
      </c>
      <c r="K32" s="5" t="n">
        <v>-186.8625</v>
      </c>
      <c r="L32" s="5" t="n">
        <v>-195.35625</v>
      </c>
      <c r="M32" s="5" t="n">
        <v>-216.590625</v>
      </c>
      <c r="N32" s="5" t="n">
        <v>-238.88671875</v>
      </c>
      <c r="O32" s="5" t="n">
        <v>-254.8125</v>
      </c>
      <c r="P32" s="5" t="n">
        <v>-270.7382812499999</v>
      </c>
      <c r="Q32" s="5" t="n">
        <v>-280.29375</v>
      </c>
      <c r="R32" s="5" t="n">
        <v>-286.6640624999999</v>
      </c>
      <c r="S32" s="5" t="n">
        <v>-286.6640624999999</v>
      </c>
      <c r="U32" s="39" t="n">
        <v>-2968.565625</v>
      </c>
    </row>
    <row r="33">
      <c r="A33" s="36" t="inlineStr">
        <is>
          <t>— Estructura (780 €/mes)</t>
        </is>
      </c>
      <c r="B33" s="5" t="n">
        <v>-780</v>
      </c>
      <c r="C33" s="5" t="n">
        <v>-780</v>
      </c>
      <c r="D33" s="5" t="n">
        <v>-780</v>
      </c>
      <c r="E33" s="5" t="n">
        <v>-780</v>
      </c>
      <c r="F33" s="5" t="n">
        <v>-780</v>
      </c>
      <c r="G33" s="5" t="n">
        <v>-780</v>
      </c>
      <c r="H33" s="5" t="n">
        <v>-780</v>
      </c>
      <c r="I33" s="5" t="n">
        <v>-780</v>
      </c>
      <c r="J33" s="5" t="n">
        <v>-780</v>
      </c>
      <c r="K33" s="5" t="n">
        <v>-780</v>
      </c>
      <c r="L33" s="5" t="n">
        <v>-780</v>
      </c>
      <c r="M33" s="5" t="n">
        <v>-780</v>
      </c>
      <c r="N33" s="5" t="n">
        <v>-780</v>
      </c>
      <c r="O33" s="5" t="n">
        <v>-780</v>
      </c>
      <c r="P33" s="5" t="n">
        <v>-780</v>
      </c>
      <c r="Q33" s="5" t="n">
        <v>-780</v>
      </c>
      <c r="R33" s="5" t="n">
        <v>-780</v>
      </c>
      <c r="S33" s="5" t="n">
        <v>-780</v>
      </c>
      <c r="U33" s="39" t="n">
        <v>-14040</v>
      </c>
    </row>
    <row r="34">
      <c r="A34" s="40" t="inlineStr">
        <is>
          <t>EBITDA MENSUAL</t>
        </is>
      </c>
      <c r="B34" s="41" t="n">
        <v>-860</v>
      </c>
      <c r="C34" s="41" t="n">
        <v>-860</v>
      </c>
      <c r="D34" s="41" t="n">
        <v>-1318.709305893333</v>
      </c>
      <c r="E34" s="41" t="n">
        <v>-686.4452433933334</v>
      </c>
      <c r="F34" s="41" t="n">
        <v>-264.9358683933334</v>
      </c>
      <c r="G34" s="42" t="n">
        <v>66.25006910666661</v>
      </c>
      <c r="H34" s="41" t="n">
        <v>-833.7529867866665</v>
      </c>
      <c r="I34" s="42" t="n">
        <v>69.4813882133335</v>
      </c>
      <c r="J34" s="42" t="n">
        <v>490.9907632133329</v>
      </c>
      <c r="K34" s="42" t="n">
        <v>852.2845132133332</v>
      </c>
      <c r="L34" s="42" t="n">
        <v>1093.147013213333</v>
      </c>
      <c r="M34" s="41" t="n">
        <v>-58.04198018</v>
      </c>
      <c r="N34" s="42" t="n">
        <v>414.2220823200005</v>
      </c>
      <c r="O34" s="42" t="n">
        <v>865.8392698200005</v>
      </c>
      <c r="P34" s="42" t="n">
        <v>1317.45645732</v>
      </c>
      <c r="Q34" s="42" t="n">
        <v>1588.426769820001</v>
      </c>
      <c r="R34" s="42" t="n">
        <v>1769.07364482</v>
      </c>
      <c r="S34" s="42" t="n">
        <v>1769.07364482</v>
      </c>
      <c r="U34" s="39" t="n">
        <v>5414.360231233336</v>
      </c>
    </row>
    <row r="35">
      <c r="A35" s="40" t="inlineStr">
        <is>
          <t>FLUJO ACUMULADO</t>
        </is>
      </c>
      <c r="B35" s="50" t="n">
        <v>-1660</v>
      </c>
      <c r="C35" s="50" t="n">
        <v>-2520</v>
      </c>
      <c r="D35" s="50" t="n">
        <v>-3838.709305893333</v>
      </c>
      <c r="E35" s="50" t="n">
        <v>-4525.154549286666</v>
      </c>
      <c r="F35" s="50" t="n">
        <v>-4790.09041768</v>
      </c>
      <c r="G35" s="50" t="n">
        <v>-4723.840348573332</v>
      </c>
      <c r="H35" s="50" t="n">
        <v>-5557.593335359999</v>
      </c>
      <c r="I35" s="50" t="n">
        <v>-5488.111947146666</v>
      </c>
      <c r="J35" s="50" t="n">
        <v>-4997.121183933334</v>
      </c>
      <c r="K35" s="50" t="n">
        <v>-4144.83667072</v>
      </c>
      <c r="L35" s="50" t="n">
        <v>-3051.689657506668</v>
      </c>
      <c r="M35" s="50" t="n">
        <v>-3109.731637686667</v>
      </c>
      <c r="N35" s="50" t="n">
        <v>-2695.509555366667</v>
      </c>
      <c r="O35" s="50" t="n">
        <v>-1829.670285546666</v>
      </c>
      <c r="P35" s="50" t="n">
        <v>-512.213828226666</v>
      </c>
      <c r="Q35" s="52" t="n">
        <v>1076.212941593335</v>
      </c>
      <c r="R35" s="52" t="n">
        <v>2845.286586413335</v>
      </c>
      <c r="S35" s="52" t="n">
        <v>4614.360231233336</v>
      </c>
      <c r="U35" s="39" t="n">
        <v>4614.360231233336</v>
      </c>
    </row>
    <row r="36">
      <c r="A36" s="2" t="inlineStr">
        <is>
          <t xml:space="preserve">  ✅ Capital necesario: 5558 € mín. | Rec. con +25%: 6947 €  | 1er mes positivo: M6  | BEP acumulado: M16</t>
        </is>
      </c>
    </row>
  </sheetData>
  <mergeCells count="4">
    <mergeCell ref="A24:U24"/>
    <mergeCell ref="A36:U36"/>
    <mergeCell ref="A14:U14"/>
    <mergeCell ref="A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2026-06-13T12:21:37Z</dcterms:created>
  <dcterms:modified xmlns:dcterms="http://purl.org/dc/terms/" xmlns:xsi="http://www.w3.org/2001/XMLSchema-instance" xsi:type="dcterms:W3CDTF">2026-06-13T12:21:37Z</dcterms:modified>
</cp:coreProperties>
</file>